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\Desktop\"/>
    </mc:Choice>
  </mc:AlternateContent>
  <xr:revisionPtr revIDLastSave="0" documentId="13_ncr:1_{86B19120-3F30-4672-840F-C6FAA8D4029B}" xr6:coauthVersionLast="47" xr6:coauthVersionMax="47" xr10:uidLastSave="{00000000-0000-0000-0000-000000000000}"/>
  <bookViews>
    <workbookView xWindow="-110" yWindow="-110" windowWidth="22780" windowHeight="14540" activeTab="2" xr2:uid="{1D9297EC-8AD5-4849-87B0-245C7B979896}"/>
  </bookViews>
  <sheets>
    <sheet name="80-20 Split" sheetId="1" r:id="rId1"/>
    <sheet name="20% &amp; 80-20 Split" sheetId="2" r:id="rId2"/>
    <sheet name="20% After Principal &amp; 80-20 Spl" sheetId="3" r:id="rId3"/>
    <sheet name="IRR Hurdles" sheetId="4" r:id="rId4"/>
    <sheet name="PE Waterfal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  <c r="C25" i="5"/>
  <c r="E22" i="5"/>
  <c r="F21" i="5"/>
  <c r="G21" i="5" s="1"/>
  <c r="H21" i="5" s="1"/>
  <c r="I21" i="5" s="1"/>
  <c r="J21" i="5" s="1"/>
  <c r="F20" i="5"/>
  <c r="G20" i="5" s="1"/>
  <c r="H20" i="5" s="1"/>
  <c r="I20" i="5" s="1"/>
  <c r="J20" i="5" s="1"/>
  <c r="E16" i="5"/>
  <c r="E15" i="5"/>
  <c r="E14" i="5"/>
  <c r="E13" i="5"/>
  <c r="E12" i="5"/>
  <c r="A12" i="5"/>
  <c r="A13" i="5" s="1"/>
  <c r="A14" i="5" s="1"/>
  <c r="A15" i="5" s="1"/>
  <c r="A16" i="5" s="1"/>
  <c r="D7" i="5"/>
  <c r="F6" i="5" s="1"/>
  <c r="C55" i="4"/>
  <c r="D52" i="4"/>
  <c r="D51" i="4"/>
  <c r="D50" i="4"/>
  <c r="D49" i="4"/>
  <c r="D48" i="4"/>
  <c r="D47" i="4"/>
  <c r="D46" i="4"/>
  <c r="D45" i="4"/>
  <c r="H45" i="4" s="1"/>
  <c r="A45" i="4"/>
  <c r="A46" i="4" s="1"/>
  <c r="A47" i="4" s="1"/>
  <c r="A48" i="4" s="1"/>
  <c r="A49" i="4" s="1"/>
  <c r="A50" i="4" s="1"/>
  <c r="A51" i="4" s="1"/>
  <c r="A52" i="4" s="1"/>
  <c r="C41" i="4"/>
  <c r="C40" i="4"/>
  <c r="C39" i="4"/>
  <c r="C38" i="4"/>
  <c r="C37" i="4"/>
  <c r="C36" i="4"/>
  <c r="C35" i="4"/>
  <c r="C34" i="4"/>
  <c r="A34" i="4"/>
  <c r="A35" i="4" s="1"/>
  <c r="A36" i="4" s="1"/>
  <c r="A37" i="4" s="1"/>
  <c r="A38" i="4" s="1"/>
  <c r="A39" i="4" s="1"/>
  <c r="A40" i="4" s="1"/>
  <c r="A4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1" i="4"/>
  <c r="G21" i="4" s="1"/>
  <c r="A21" i="4"/>
  <c r="A22" i="4" s="1"/>
  <c r="A23" i="4" s="1"/>
  <c r="A24" i="4" s="1"/>
  <c r="A25" i="4" s="1"/>
  <c r="A26" i="4" s="1"/>
  <c r="A27" i="4" s="1"/>
  <c r="A28" i="4" s="1"/>
  <c r="D11" i="4"/>
  <c r="D27" i="3"/>
  <c r="D23" i="3"/>
  <c r="D24" i="3" s="1"/>
  <c r="D30" i="3" s="1"/>
  <c r="D35" i="3" s="1"/>
  <c r="D18" i="2"/>
  <c r="D19" i="2" s="1"/>
  <c r="D25" i="2" s="1"/>
  <c r="D30" i="2" s="1"/>
  <c r="D26" i="1"/>
  <c r="D22" i="1"/>
  <c r="D23" i="1" s="1"/>
  <c r="D29" i="1" s="1"/>
  <c r="D31" i="1" s="1"/>
  <c r="E41" i="4" l="1"/>
  <c r="G41" i="4" s="1"/>
  <c r="C52" i="4" s="1"/>
  <c r="E23" i="5"/>
  <c r="D27" i="2"/>
  <c r="D32" i="2" s="1"/>
  <c r="F5" i="5"/>
  <c r="E36" i="4"/>
  <c r="E37" i="4"/>
  <c r="E38" i="4"/>
  <c r="F49" i="4" s="1"/>
  <c r="E35" i="4"/>
  <c r="G35" i="4" s="1"/>
  <c r="C46" i="4" s="1"/>
  <c r="E39" i="4"/>
  <c r="G39" i="4" s="1"/>
  <c r="C50" i="4" s="1"/>
  <c r="E40" i="4"/>
  <c r="G40" i="4" s="1"/>
  <c r="C51" i="4" s="1"/>
  <c r="F51" i="4"/>
  <c r="E34" i="4"/>
  <c r="G34" i="4" s="1"/>
  <c r="C45" i="4" s="1"/>
  <c r="D32" i="3"/>
  <c r="D35" i="1"/>
  <c r="D39" i="1" s="1"/>
  <c r="D34" i="1"/>
  <c r="D38" i="1" s="1"/>
  <c r="F52" i="4" l="1"/>
  <c r="E52" i="4"/>
  <c r="H52" i="4" s="1"/>
  <c r="E51" i="4"/>
  <c r="H51" i="4" s="1"/>
  <c r="F50" i="4"/>
  <c r="D36" i="2"/>
  <c r="D40" i="2" s="1"/>
  <c r="D35" i="2"/>
  <c r="D39" i="2" s="1"/>
  <c r="G37" i="4"/>
  <c r="C48" i="4" s="1"/>
  <c r="E55" i="4" s="1"/>
  <c r="F48" i="4"/>
  <c r="E48" i="4"/>
  <c r="H48" i="4" s="1"/>
  <c r="G36" i="4"/>
  <c r="C47" i="4" s="1"/>
  <c r="E47" i="4"/>
  <c r="F47" i="4"/>
  <c r="E46" i="4"/>
  <c r="F46" i="4"/>
  <c r="E50" i="4"/>
  <c r="G38" i="4"/>
  <c r="C49" i="4" s="1"/>
  <c r="E49" i="4"/>
  <c r="H49" i="4" s="1"/>
  <c r="D37" i="3"/>
  <c r="D41" i="1"/>
  <c r="E38" i="1" s="1"/>
  <c r="D42" i="2" l="1"/>
  <c r="E39" i="2" s="1"/>
  <c r="H50" i="4"/>
  <c r="H47" i="4"/>
  <c r="E39" i="1"/>
  <c r="H46" i="4"/>
  <c r="C60" i="4"/>
  <c r="C59" i="4"/>
  <c r="C58" i="4"/>
  <c r="D40" i="3"/>
  <c r="D44" i="3" s="1"/>
  <c r="D41" i="3"/>
  <c r="D45" i="3" s="1"/>
  <c r="E40" i="2" l="1"/>
  <c r="C61" i="4"/>
  <c r="C63" i="4" s="1"/>
  <c r="D47" i="3"/>
  <c r="E45" i="3" s="1"/>
  <c r="E58" i="4" l="1"/>
  <c r="E66" i="4" s="1"/>
  <c r="E60" i="4"/>
  <c r="E68" i="4" s="1"/>
  <c r="C68" i="4" s="1"/>
  <c r="C74" i="4" s="1"/>
  <c r="E59" i="4"/>
  <c r="E67" i="4" s="1"/>
  <c r="C67" i="4" s="1"/>
  <c r="C73" i="4" s="1"/>
  <c r="E44" i="3"/>
  <c r="E69" i="4" l="1"/>
  <c r="C66" i="4"/>
  <c r="E61" i="4"/>
  <c r="C69" i="4" l="1"/>
  <c r="C72" i="4"/>
  <c r="C76" i="4" l="1"/>
  <c r="E72" i="4" s="1"/>
  <c r="E73" i="4" l="1"/>
  <c r="E74" i="4"/>
  <c r="E76" i="4" l="1"/>
</calcChain>
</file>

<file path=xl/sharedStrings.xml><?xml version="1.0" encoding="utf-8"?>
<sst xmlns="http://schemas.openxmlformats.org/spreadsheetml/2006/main" count="165" uniqueCount="68">
  <si>
    <t>Distribution Waterfall Calculation</t>
  </si>
  <si>
    <t>80/20 Split</t>
  </si>
  <si>
    <t>Capital Invested</t>
  </si>
  <si>
    <t>Proceeds</t>
  </si>
  <si>
    <t>Date</t>
  </si>
  <si>
    <t>GP</t>
  </si>
  <si>
    <t>LPs</t>
  </si>
  <si>
    <t>Return of principal to LP + 8% Preferred Return on Principal.</t>
  </si>
  <si>
    <t>Then, 80/20 split between LP/GP</t>
  </si>
  <si>
    <t>Principal</t>
  </si>
  <si>
    <t>Preferred Return</t>
  </si>
  <si>
    <t>LP IRR Hurdle</t>
  </si>
  <si>
    <t>Principal + Preferred Return</t>
  </si>
  <si>
    <t>TRANSACTION</t>
  </si>
  <si>
    <t>DEAL PARTICIPANTS</t>
  </si>
  <si>
    <t>PARTICIPATION TERMS</t>
  </si>
  <si>
    <t>LP IRR HURDLE</t>
  </si>
  <si>
    <t>PROCEEDS REQUIRED TO ACHIEVE HURDLES</t>
  </si>
  <si>
    <t>WATERFALL</t>
  </si>
  <si>
    <t>Deal IRR</t>
  </si>
  <si>
    <t>First Distribution:</t>
  </si>
  <si>
    <t>Proceeds Remaining</t>
  </si>
  <si>
    <t>Total Proceeds</t>
  </si>
  <si>
    <t>TOTAL PROCEEDS</t>
  </si>
  <si>
    <t>Total</t>
  </si>
  <si>
    <t>Then, 20% full catch up for GP (Equivalent to 20% of all distributions)</t>
  </si>
  <si>
    <t>Second Distribution:</t>
  </si>
  <si>
    <t>14M = 0.8*x</t>
  </si>
  <si>
    <t>Third Distribution:</t>
  </si>
  <si>
    <t>20% Catch Up followed by 80/20 Split</t>
  </si>
  <si>
    <t>20% Catch Up After Principal &amp; 80/20 Split</t>
  </si>
  <si>
    <t>8% Preferred Return on Principal.</t>
  </si>
  <si>
    <t xml:space="preserve">Return of principal to LP </t>
  </si>
  <si>
    <t>Then, 20% full catch up for GP (Equivalent to 20% of step 2 and 3)</t>
  </si>
  <si>
    <t>For Three Equity Participants  - Deal by Deal</t>
  </si>
  <si>
    <t>Management team</t>
  </si>
  <si>
    <t>Investment</t>
  </si>
  <si>
    <t>IRR is calculated on the total capital invested</t>
  </si>
  <si>
    <t>Management team and GPs can earn profits based on different IRR Hurdles achieved if LPs earn them</t>
  </si>
  <si>
    <t>IRR HURDLES</t>
  </si>
  <si>
    <t>MGMT Equity</t>
  </si>
  <si>
    <t>GP Equity</t>
  </si>
  <si>
    <t>IRR HURDLES - RECALCULATED TO AVOID DILUTION</t>
  </si>
  <si>
    <t>to avoid dilution</t>
  </si>
  <si>
    <t>LP to achieve Hurdle</t>
  </si>
  <si>
    <t xml:space="preserve">Proceeds required by </t>
  </si>
  <si>
    <t>LP share</t>
  </si>
  <si>
    <t>PROCEEDS RECEIVED AT NEW HURDLE RATES</t>
  </si>
  <si>
    <t>New Hurdle rates</t>
  </si>
  <si>
    <t>LP Proceeds</t>
  </si>
  <si>
    <t>GP Proceeds</t>
  </si>
  <si>
    <t>MGMT Proceeds</t>
  </si>
  <si>
    <t>New implied Hurdle</t>
  </si>
  <si>
    <t>rate to vest</t>
  </si>
  <si>
    <t>Total Proceeds required</t>
  </si>
  <si>
    <t>Row C = 78% then how much is 100%?</t>
  </si>
  <si>
    <t>N/A</t>
  </si>
  <si>
    <t>Return of principal to LP + 8% Preferred Return on Principal</t>
  </si>
  <si>
    <t>INVESTMENT</t>
  </si>
  <si>
    <t>%</t>
  </si>
  <si>
    <t>LP/GP Split</t>
  </si>
  <si>
    <t>CASHFLOWS</t>
  </si>
  <si>
    <t>Year</t>
  </si>
  <si>
    <t>Cashflows</t>
  </si>
  <si>
    <t>IRR</t>
  </si>
  <si>
    <t>Year 0</t>
  </si>
  <si>
    <t>HURDLE 1</t>
  </si>
  <si>
    <t>Beginning Balance in LP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</si>
</sst>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FF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sz val="11"/>
      <color rgb="FFFFC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10" fontId="0" fillId="0" borderId="0" xfId="3" applyNumberFormat="1" applyFont="1"/>
    <xf numFmtId="14" fontId="4" fillId="0" borderId="0" xfId="0" applyNumberFormat="1" applyFont="1"/>
    <xf numFmtId="164" fontId="4" fillId="0" borderId="0" xfId="2" applyNumberFormat="1" applyFont="1"/>
    <xf numFmtId="10" fontId="4" fillId="0" borderId="0" xfId="3" applyNumberFormat="1" applyFont="1"/>
    <xf numFmtId="0" fontId="2" fillId="2" borderId="0" xfId="0" applyFont="1" applyFill="1"/>
    <xf numFmtId="0" fontId="0" fillId="2" borderId="0" xfId="0" applyFill="1"/>
    <xf numFmtId="0" fontId="5" fillId="3" borderId="0" xfId="0" applyFont="1" applyFill="1"/>
    <xf numFmtId="0" fontId="3" fillId="3" borderId="0" xfId="0" applyFont="1" applyFill="1"/>
    <xf numFmtId="0" fontId="6" fillId="3" borderId="0" xfId="0" applyFont="1" applyFill="1"/>
    <xf numFmtId="164" fontId="0" fillId="0" borderId="0" xfId="0" applyNumberFormat="1"/>
    <xf numFmtId="44" fontId="0" fillId="0" borderId="0" xfId="0" applyNumberFormat="1"/>
    <xf numFmtId="0" fontId="0" fillId="0" borderId="1" xfId="0" applyBorder="1"/>
    <xf numFmtId="0" fontId="7" fillId="0" borderId="0" xfId="0" applyFont="1"/>
    <xf numFmtId="10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  <xf numFmtId="10" fontId="4" fillId="0" borderId="0" xfId="3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0" applyNumberFormat="1"/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0" fontId="4" fillId="0" borderId="0" xfId="0" applyFont="1" applyAlignment="1">
      <alignment horizontal="center"/>
    </xf>
    <xf numFmtId="10" fontId="0" fillId="0" borderId="1" xfId="0" applyNumberFormat="1" applyBorder="1"/>
    <xf numFmtId="164" fontId="0" fillId="0" borderId="1" xfId="0" applyNumberFormat="1" applyBorder="1"/>
    <xf numFmtId="0" fontId="0" fillId="4" borderId="0" xfId="0" applyFill="1"/>
    <xf numFmtId="0" fontId="0" fillId="5" borderId="0" xfId="0" applyFill="1"/>
    <xf numFmtId="10" fontId="0" fillId="5" borderId="0" xfId="3" applyNumberFormat="1" applyFont="1" applyFill="1"/>
    <xf numFmtId="10" fontId="0" fillId="4" borderId="0" xfId="0" applyNumberFormat="1" applyFill="1"/>
    <xf numFmtId="0" fontId="2" fillId="0" borderId="0" xfId="0" applyFont="1" applyAlignment="1">
      <alignment horizontal="center"/>
    </xf>
    <xf numFmtId="164" fontId="1" fillId="0" borderId="0" xfId="2" applyNumberFormat="1" applyFont="1"/>
    <xf numFmtId="0" fontId="0" fillId="0" borderId="2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FF"/>
      <color rgb="FF0033CC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7F61-C0F8-48C7-9AA2-CF1DF45A2D05}">
  <dimension ref="A1:F42"/>
  <sheetViews>
    <sheetView showGridLines="0" topLeftCell="A13" workbookViewId="0">
      <selection activeCell="D34" sqref="D34"/>
    </sheetView>
  </sheetViews>
  <sheetFormatPr defaultRowHeight="14.5" x14ac:dyDescent="0.35"/>
  <cols>
    <col min="3" max="3" width="12" customWidth="1"/>
    <col min="4" max="4" width="15.26953125" bestFit="1" customWidth="1"/>
    <col min="5" max="6" width="10.453125" bestFit="1" customWidth="1"/>
  </cols>
  <sheetData>
    <row r="1" spans="1:6" ht="21" x14ac:dyDescent="0.5">
      <c r="A1" s="9" t="s">
        <v>0</v>
      </c>
      <c r="B1" s="10"/>
      <c r="C1" s="10"/>
      <c r="D1" s="10"/>
      <c r="E1" s="10"/>
      <c r="F1" s="10"/>
    </row>
    <row r="2" spans="1:6" ht="18.5" x14ac:dyDescent="0.45">
      <c r="A2" s="11" t="s">
        <v>1</v>
      </c>
      <c r="B2" s="10"/>
      <c r="C2" s="10"/>
      <c r="D2" s="10"/>
      <c r="E2" s="10"/>
      <c r="F2" s="10"/>
    </row>
    <row r="4" spans="1:6" x14ac:dyDescent="0.35">
      <c r="A4" s="7" t="s">
        <v>13</v>
      </c>
      <c r="B4" s="8"/>
      <c r="C4" s="8"/>
      <c r="D4" s="8"/>
      <c r="E4" s="8"/>
      <c r="F4" s="8"/>
    </row>
    <row r="5" spans="1:6" x14ac:dyDescent="0.35">
      <c r="A5" t="s">
        <v>2</v>
      </c>
      <c r="D5" s="5">
        <v>-12000000</v>
      </c>
      <c r="F5" s="4">
        <v>44196</v>
      </c>
    </row>
    <row r="6" spans="1:6" x14ac:dyDescent="0.35">
      <c r="A6" t="s">
        <v>3</v>
      </c>
      <c r="D6" s="5">
        <v>25000000</v>
      </c>
      <c r="F6" s="4">
        <v>46022</v>
      </c>
    </row>
    <row r="8" spans="1:6" x14ac:dyDescent="0.35">
      <c r="A8" s="7" t="s">
        <v>14</v>
      </c>
      <c r="B8" s="8"/>
      <c r="C8" s="8"/>
      <c r="D8" s="8"/>
      <c r="E8" s="8"/>
      <c r="F8" s="8"/>
    </row>
    <row r="9" spans="1:6" x14ac:dyDescent="0.35">
      <c r="A9" t="s">
        <v>5</v>
      </c>
    </row>
    <row r="10" spans="1:6" x14ac:dyDescent="0.35">
      <c r="A10" t="s">
        <v>6</v>
      </c>
    </row>
    <row r="12" spans="1:6" x14ac:dyDescent="0.35">
      <c r="A12" s="7" t="s">
        <v>15</v>
      </c>
      <c r="B12" s="8"/>
      <c r="C12" s="8"/>
      <c r="D12" s="8"/>
      <c r="E12" s="8"/>
      <c r="F12" s="8"/>
    </row>
    <row r="13" spans="1:6" x14ac:dyDescent="0.35">
      <c r="A13" t="s">
        <v>57</v>
      </c>
    </row>
    <row r="14" spans="1:6" x14ac:dyDescent="0.35">
      <c r="A14" t="s">
        <v>8</v>
      </c>
    </row>
    <row r="16" spans="1:6" x14ac:dyDescent="0.35">
      <c r="A16" s="7" t="s">
        <v>16</v>
      </c>
      <c r="B16" s="8"/>
      <c r="C16" s="8"/>
      <c r="D16" s="8"/>
      <c r="E16" s="8"/>
      <c r="F16" s="8"/>
    </row>
    <row r="17" spans="1:6" x14ac:dyDescent="0.35">
      <c r="A17" t="s">
        <v>9</v>
      </c>
      <c r="D17" s="6">
        <v>0</v>
      </c>
    </row>
    <row r="18" spans="1:6" x14ac:dyDescent="0.35">
      <c r="A18" t="s">
        <v>10</v>
      </c>
      <c r="D18" s="6">
        <v>0.08</v>
      </c>
    </row>
    <row r="20" spans="1:6" x14ac:dyDescent="0.35">
      <c r="A20" s="7" t="s">
        <v>17</v>
      </c>
      <c r="B20" s="8"/>
      <c r="C20" s="8"/>
      <c r="D20" s="8"/>
      <c r="E20" s="8"/>
      <c r="F20" s="8"/>
    </row>
    <row r="22" spans="1:6" x14ac:dyDescent="0.35">
      <c r="A22" t="s">
        <v>9</v>
      </c>
      <c r="D22" s="5">
        <f>-D5</f>
        <v>12000000</v>
      </c>
    </row>
    <row r="23" spans="1:6" x14ac:dyDescent="0.35">
      <c r="A23" t="s">
        <v>12</v>
      </c>
      <c r="D23" s="5">
        <f>D22*(1+D18)^5</f>
        <v>17631936.921600003</v>
      </c>
    </row>
    <row r="25" spans="1:6" ht="18.5" x14ac:dyDescent="0.45">
      <c r="A25" s="11" t="s">
        <v>18</v>
      </c>
      <c r="B25" s="10"/>
      <c r="C25" s="10"/>
      <c r="D25" s="10"/>
      <c r="E25" s="10"/>
      <c r="F25" s="10"/>
    </row>
    <row r="26" spans="1:6" x14ac:dyDescent="0.35">
      <c r="A26" s="2" t="s">
        <v>19</v>
      </c>
      <c r="D26" s="3">
        <f>((D6/-D5)^(1/5))-1</f>
        <v>0.15811517561929445</v>
      </c>
    </row>
    <row r="28" spans="1:6" x14ac:dyDescent="0.35">
      <c r="A28" s="2" t="s">
        <v>20</v>
      </c>
    </row>
    <row r="29" spans="1:6" x14ac:dyDescent="0.35">
      <c r="A29" t="s">
        <v>6</v>
      </c>
      <c r="D29" s="12">
        <f>MIN(D23,D6)</f>
        <v>17631936.921600003</v>
      </c>
    </row>
    <row r="31" spans="1:6" x14ac:dyDescent="0.35">
      <c r="A31" t="s">
        <v>21</v>
      </c>
      <c r="D31" s="12">
        <f>D6-D29</f>
        <v>7368063.0783999972</v>
      </c>
    </row>
    <row r="33" spans="1:6" x14ac:dyDescent="0.35">
      <c r="A33" s="2" t="s">
        <v>26</v>
      </c>
    </row>
    <row r="34" spans="1:6" x14ac:dyDescent="0.35">
      <c r="A34" t="s">
        <v>6</v>
      </c>
      <c r="D34" s="12">
        <f>E34*D31</f>
        <v>5894450.4627199983</v>
      </c>
      <c r="E34" s="6">
        <v>0.8</v>
      </c>
    </row>
    <row r="35" spans="1:6" x14ac:dyDescent="0.35">
      <c r="A35" t="s">
        <v>5</v>
      </c>
      <c r="D35" s="12">
        <f>E35*D31</f>
        <v>1473612.6156799996</v>
      </c>
      <c r="E35" s="6">
        <v>0.2</v>
      </c>
    </row>
    <row r="37" spans="1:6" x14ac:dyDescent="0.35">
      <c r="A37" s="7" t="s">
        <v>23</v>
      </c>
      <c r="B37" s="7"/>
      <c r="C37" s="7"/>
      <c r="D37" s="7"/>
      <c r="E37" s="7"/>
      <c r="F37" s="7"/>
    </row>
    <row r="38" spans="1:6" x14ac:dyDescent="0.35">
      <c r="A38" t="s">
        <v>6</v>
      </c>
      <c r="D38" s="12">
        <f>D34+D29</f>
        <v>23526387.384320002</v>
      </c>
      <c r="E38" s="3">
        <f>D38/D41</f>
        <v>0.94105549537280009</v>
      </c>
    </row>
    <row r="39" spans="1:6" x14ac:dyDescent="0.35">
      <c r="A39" t="s">
        <v>5</v>
      </c>
      <c r="D39" s="12">
        <f>D35</f>
        <v>1473612.6156799996</v>
      </c>
      <c r="E39" s="3">
        <f>D39/D41</f>
        <v>5.8944504627199981E-2</v>
      </c>
    </row>
    <row r="41" spans="1:6" ht="15" thickBot="1" x14ac:dyDescent="0.4">
      <c r="A41" s="14" t="s">
        <v>24</v>
      </c>
      <c r="B41" s="14"/>
      <c r="C41" s="14"/>
      <c r="D41" s="28">
        <f>SUM(D38:D40)</f>
        <v>25000000</v>
      </c>
    </row>
    <row r="42" spans="1:6" ht="15" thickTop="1" x14ac:dyDescent="0.35"/>
  </sheetData>
  <sheetProtection sheet="1" objects="1" scenarios="1" selectLockedCells="0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E018-6F1F-4B1A-9358-D6D495A7574F}">
  <dimension ref="A1:F43"/>
  <sheetViews>
    <sheetView showGridLines="0" topLeftCell="A8" zoomScale="76" zoomScaleNormal="100" workbookViewId="0">
      <selection activeCell="J25" sqref="J25"/>
    </sheetView>
  </sheetViews>
  <sheetFormatPr defaultRowHeight="14.5" x14ac:dyDescent="0.35"/>
  <cols>
    <col min="4" max="4" width="14.6328125" bestFit="1" customWidth="1"/>
    <col min="6" max="6" width="11.36328125" bestFit="1" customWidth="1"/>
  </cols>
  <sheetData>
    <row r="1" spans="1:6" ht="21" x14ac:dyDescent="0.5">
      <c r="A1" s="9" t="s">
        <v>0</v>
      </c>
      <c r="B1" s="10"/>
      <c r="C1" s="10"/>
      <c r="D1" s="10"/>
      <c r="E1" s="10"/>
      <c r="F1" s="10"/>
    </row>
    <row r="2" spans="1:6" ht="18.5" x14ac:dyDescent="0.45">
      <c r="A2" s="11" t="s">
        <v>29</v>
      </c>
      <c r="B2" s="10"/>
      <c r="C2" s="10"/>
      <c r="D2" s="10"/>
      <c r="E2" s="10"/>
      <c r="F2" s="10"/>
    </row>
    <row r="4" spans="1:6" x14ac:dyDescent="0.35">
      <c r="A4" s="7" t="s">
        <v>13</v>
      </c>
      <c r="B4" s="8"/>
      <c r="C4" s="8"/>
      <c r="D4" s="8"/>
      <c r="E4" s="8"/>
      <c r="F4" s="8"/>
    </row>
    <row r="5" spans="1:6" x14ac:dyDescent="0.35">
      <c r="A5" t="s">
        <v>2</v>
      </c>
      <c r="D5" s="5">
        <v>-12000000</v>
      </c>
      <c r="F5" s="4">
        <v>44196</v>
      </c>
    </row>
    <row r="6" spans="1:6" x14ac:dyDescent="0.35">
      <c r="A6" t="s">
        <v>3</v>
      </c>
      <c r="D6" s="5">
        <v>25000000</v>
      </c>
      <c r="F6" s="4">
        <v>46022</v>
      </c>
    </row>
    <row r="8" spans="1:6" x14ac:dyDescent="0.35">
      <c r="A8" s="7" t="s">
        <v>15</v>
      </c>
      <c r="B8" s="8"/>
      <c r="C8" s="8"/>
      <c r="D8" s="8"/>
      <c r="E8" s="8"/>
      <c r="F8" s="8"/>
    </row>
    <row r="9" spans="1:6" x14ac:dyDescent="0.35">
      <c r="A9" t="s">
        <v>7</v>
      </c>
    </row>
    <row r="10" spans="1:6" x14ac:dyDescent="0.35">
      <c r="A10" t="s">
        <v>25</v>
      </c>
    </row>
    <row r="11" spans="1:6" x14ac:dyDescent="0.35">
      <c r="A11" t="s">
        <v>8</v>
      </c>
    </row>
    <row r="13" spans="1:6" x14ac:dyDescent="0.35">
      <c r="A13" s="7" t="s">
        <v>16</v>
      </c>
      <c r="B13" s="8"/>
      <c r="C13" s="8"/>
      <c r="D13" s="8"/>
      <c r="E13" s="8"/>
      <c r="F13" s="8"/>
    </row>
    <row r="14" spans="1:6" x14ac:dyDescent="0.35">
      <c r="A14" t="s">
        <v>9</v>
      </c>
      <c r="D14" s="6">
        <v>0</v>
      </c>
    </row>
    <row r="15" spans="1:6" x14ac:dyDescent="0.35">
      <c r="A15" t="s">
        <v>10</v>
      </c>
      <c r="D15" s="6">
        <v>0.08</v>
      </c>
    </row>
    <row r="17" spans="1:6" x14ac:dyDescent="0.35">
      <c r="A17" s="7" t="s">
        <v>17</v>
      </c>
      <c r="B17" s="8"/>
      <c r="C17" s="8"/>
      <c r="D17" s="8"/>
      <c r="E17" s="8"/>
      <c r="F17" s="8"/>
    </row>
    <row r="18" spans="1:6" x14ac:dyDescent="0.35">
      <c r="A18" t="s">
        <v>9</v>
      </c>
      <c r="D18" s="34">
        <f>-D5</f>
        <v>12000000</v>
      </c>
    </row>
    <row r="19" spans="1:6" x14ac:dyDescent="0.35">
      <c r="A19" t="s">
        <v>12</v>
      </c>
      <c r="D19" s="34">
        <f>D18*(1+D15)^5</f>
        <v>17631936.921600003</v>
      </c>
    </row>
    <row r="21" spans="1:6" ht="18.5" x14ac:dyDescent="0.45">
      <c r="A21" s="11" t="s">
        <v>18</v>
      </c>
      <c r="B21" s="10"/>
      <c r="C21" s="10"/>
      <c r="D21" s="10"/>
      <c r="E21" s="10"/>
      <c r="F21" s="10"/>
    </row>
    <row r="22" spans="1:6" x14ac:dyDescent="0.35">
      <c r="A22" s="2" t="s">
        <v>19</v>
      </c>
      <c r="D22" s="3">
        <f>((D6/-D5)^(1/5))-1</f>
        <v>0.15811517561929445</v>
      </c>
    </row>
    <row r="24" spans="1:6" x14ac:dyDescent="0.35">
      <c r="A24" s="2" t="s">
        <v>20</v>
      </c>
    </row>
    <row r="25" spans="1:6" x14ac:dyDescent="0.35">
      <c r="A25" t="s">
        <v>6</v>
      </c>
      <c r="D25" s="12">
        <f>MIN(D19,D7)</f>
        <v>17631936.921600003</v>
      </c>
      <c r="E25" s="15"/>
    </row>
    <row r="27" spans="1:6" x14ac:dyDescent="0.35">
      <c r="A27" t="s">
        <v>21</v>
      </c>
      <c r="D27" s="12">
        <f>D6-D25</f>
        <v>7368063.0783999972</v>
      </c>
    </row>
    <row r="29" spans="1:6" x14ac:dyDescent="0.35">
      <c r="A29" s="2" t="s">
        <v>26</v>
      </c>
    </row>
    <row r="30" spans="1:6" x14ac:dyDescent="0.35">
      <c r="A30" t="s">
        <v>5</v>
      </c>
      <c r="D30" s="12">
        <f>(D25/(1-E30))-D25</f>
        <v>4407984.2303999998</v>
      </c>
      <c r="E30" s="6">
        <v>0.2</v>
      </c>
    </row>
    <row r="31" spans="1:6" x14ac:dyDescent="0.35">
      <c r="D31" s="12"/>
    </row>
    <row r="32" spans="1:6" x14ac:dyDescent="0.35">
      <c r="A32" t="s">
        <v>21</v>
      </c>
      <c r="D32" s="12">
        <f>D27-D30</f>
        <v>2960078.8479999974</v>
      </c>
    </row>
    <row r="33" spans="1:6" x14ac:dyDescent="0.35">
      <c r="D33" s="12"/>
    </row>
    <row r="34" spans="1:6" x14ac:dyDescent="0.35">
      <c r="A34" s="2" t="s">
        <v>28</v>
      </c>
      <c r="D34" s="12"/>
    </row>
    <row r="35" spans="1:6" x14ac:dyDescent="0.35">
      <c r="A35" t="s">
        <v>6</v>
      </c>
      <c r="D35" s="12">
        <f>D32*E35</f>
        <v>2368063.0783999981</v>
      </c>
      <c r="E35" s="6">
        <v>0.8</v>
      </c>
    </row>
    <row r="36" spans="1:6" x14ac:dyDescent="0.35">
      <c r="A36" t="s">
        <v>5</v>
      </c>
      <c r="D36" s="12">
        <f>D32*E36</f>
        <v>592015.76959999953</v>
      </c>
      <c r="E36" s="6">
        <v>0.2</v>
      </c>
    </row>
    <row r="37" spans="1:6" x14ac:dyDescent="0.35">
      <c r="D37" s="12"/>
    </row>
    <row r="38" spans="1:6" x14ac:dyDescent="0.35">
      <c r="A38" s="7" t="s">
        <v>23</v>
      </c>
      <c r="B38" s="7"/>
      <c r="C38" s="7"/>
      <c r="D38" s="7"/>
      <c r="E38" s="7"/>
      <c r="F38" s="7"/>
    </row>
    <row r="39" spans="1:6" x14ac:dyDescent="0.35">
      <c r="A39" t="s">
        <v>6</v>
      </c>
      <c r="D39" s="12">
        <f>D25+D35</f>
        <v>20000000</v>
      </c>
      <c r="E39" s="3">
        <f>D39/D42</f>
        <v>0.8</v>
      </c>
    </row>
    <row r="40" spans="1:6" x14ac:dyDescent="0.35">
      <c r="A40" t="s">
        <v>5</v>
      </c>
      <c r="D40" s="12">
        <f>D30+D36</f>
        <v>4999999.9999999991</v>
      </c>
      <c r="E40" s="3">
        <f>D40/D42</f>
        <v>0.19999999999999996</v>
      </c>
    </row>
    <row r="41" spans="1:6" x14ac:dyDescent="0.35">
      <c r="D41" s="12"/>
    </row>
    <row r="42" spans="1:6" ht="15" thickBot="1" x14ac:dyDescent="0.4">
      <c r="A42" s="14" t="s">
        <v>24</v>
      </c>
      <c r="B42" s="14"/>
      <c r="C42" s="14"/>
      <c r="D42" s="28">
        <f>SUM(D39:D41)</f>
        <v>25000000</v>
      </c>
    </row>
    <row r="43" spans="1:6" ht="15" thickTop="1" x14ac:dyDescent="0.35"/>
  </sheetData>
  <sheetProtection sheet="1" objects="1" scenarios="1" selectLockedCells="0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154B-2326-4ED3-86C1-8FAF6684D83E}">
  <dimension ref="A1:F48"/>
  <sheetViews>
    <sheetView showGridLines="0" tabSelected="1" topLeftCell="A3" workbookViewId="0">
      <selection activeCell="D23" sqref="D23"/>
    </sheetView>
  </sheetViews>
  <sheetFormatPr defaultRowHeight="14.5" x14ac:dyDescent="0.35"/>
  <cols>
    <col min="4" max="4" width="14.6328125" bestFit="1" customWidth="1"/>
    <col min="6" max="6" width="10.453125" bestFit="1" customWidth="1"/>
  </cols>
  <sheetData>
    <row r="1" spans="1:6" ht="21" x14ac:dyDescent="0.5">
      <c r="A1" s="9" t="s">
        <v>0</v>
      </c>
      <c r="B1" s="10"/>
      <c r="C1" s="10"/>
      <c r="D1" s="10"/>
      <c r="E1" s="10"/>
      <c r="F1" s="10"/>
    </row>
    <row r="2" spans="1:6" ht="18.5" x14ac:dyDescent="0.45">
      <c r="A2" s="11" t="s">
        <v>30</v>
      </c>
      <c r="B2" s="10"/>
      <c r="C2" s="10"/>
      <c r="D2" s="10"/>
      <c r="E2" s="10"/>
      <c r="F2" s="10"/>
    </row>
    <row r="4" spans="1:6" x14ac:dyDescent="0.35">
      <c r="A4" s="7" t="s">
        <v>13</v>
      </c>
      <c r="B4" s="8"/>
      <c r="C4" s="8"/>
      <c r="D4" s="8"/>
      <c r="E4" s="8"/>
      <c r="F4" s="8"/>
    </row>
    <row r="5" spans="1:6" x14ac:dyDescent="0.35">
      <c r="A5" t="s">
        <v>2</v>
      </c>
      <c r="D5" s="5">
        <v>-12000000</v>
      </c>
      <c r="F5" s="4">
        <v>44196</v>
      </c>
    </row>
    <row r="6" spans="1:6" x14ac:dyDescent="0.35">
      <c r="A6" t="s">
        <v>3</v>
      </c>
      <c r="D6" s="5">
        <v>25000000</v>
      </c>
      <c r="F6" s="4">
        <v>46022</v>
      </c>
    </row>
    <row r="8" spans="1:6" x14ac:dyDescent="0.35">
      <c r="A8" s="7" t="s">
        <v>14</v>
      </c>
      <c r="B8" s="8"/>
      <c r="C8" s="8"/>
      <c r="D8" s="8"/>
      <c r="E8" s="8"/>
      <c r="F8" s="8"/>
    </row>
    <row r="9" spans="1:6" x14ac:dyDescent="0.35">
      <c r="A9" t="s">
        <v>5</v>
      </c>
    </row>
    <row r="10" spans="1:6" x14ac:dyDescent="0.35">
      <c r="A10" t="s">
        <v>6</v>
      </c>
    </row>
    <row r="12" spans="1:6" x14ac:dyDescent="0.35">
      <c r="A12" s="7" t="s">
        <v>15</v>
      </c>
      <c r="B12" s="8"/>
      <c r="C12" s="8"/>
      <c r="D12" s="8"/>
      <c r="E12" s="8"/>
      <c r="F12" s="8"/>
    </row>
    <row r="13" spans="1:6" x14ac:dyDescent="0.35">
      <c r="A13" t="s">
        <v>32</v>
      </c>
    </row>
    <row r="14" spans="1:6" x14ac:dyDescent="0.35">
      <c r="A14" t="s">
        <v>31</v>
      </c>
    </row>
    <row r="15" spans="1:6" x14ac:dyDescent="0.35">
      <c r="A15" t="s">
        <v>33</v>
      </c>
    </row>
    <row r="16" spans="1:6" x14ac:dyDescent="0.35">
      <c r="A16" t="s">
        <v>8</v>
      </c>
    </row>
    <row r="18" spans="1:6" x14ac:dyDescent="0.35">
      <c r="A18" s="7" t="s">
        <v>16</v>
      </c>
      <c r="B18" s="8"/>
      <c r="C18" s="8"/>
      <c r="D18" s="8"/>
      <c r="E18" s="8"/>
      <c r="F18" s="8"/>
    </row>
    <row r="19" spans="1:6" x14ac:dyDescent="0.35">
      <c r="A19" t="s">
        <v>9</v>
      </c>
      <c r="D19" s="6">
        <v>0</v>
      </c>
    </row>
    <row r="20" spans="1:6" x14ac:dyDescent="0.35">
      <c r="A20" t="s">
        <v>10</v>
      </c>
      <c r="D20" s="6">
        <v>0.08</v>
      </c>
    </row>
    <row r="22" spans="1:6" x14ac:dyDescent="0.35">
      <c r="A22" s="7" t="s">
        <v>17</v>
      </c>
      <c r="B22" s="8"/>
      <c r="C22" s="8"/>
      <c r="D22" s="8"/>
      <c r="E22" s="8"/>
      <c r="F22" s="8"/>
    </row>
    <row r="23" spans="1:6" x14ac:dyDescent="0.35">
      <c r="A23" t="s">
        <v>9</v>
      </c>
      <c r="D23" s="34">
        <f>-D5</f>
        <v>12000000</v>
      </c>
    </row>
    <row r="24" spans="1:6" x14ac:dyDescent="0.35">
      <c r="A24" t="s">
        <v>12</v>
      </c>
      <c r="D24" s="34">
        <f>D23*(1+D20)^5</f>
        <v>17631936.921600003</v>
      </c>
    </row>
    <row r="26" spans="1:6" ht="18.5" x14ac:dyDescent="0.45">
      <c r="A26" s="11" t="s">
        <v>18</v>
      </c>
      <c r="B26" s="10"/>
      <c r="C26" s="10"/>
      <c r="D26" s="10"/>
      <c r="E26" s="10"/>
      <c r="F26" s="10"/>
    </row>
    <row r="27" spans="1:6" x14ac:dyDescent="0.35">
      <c r="A27" s="2" t="s">
        <v>19</v>
      </c>
      <c r="D27" s="3">
        <f>((D6/-D5)^(1/5))-1</f>
        <v>0.15811517561929445</v>
      </c>
    </row>
    <row r="29" spans="1:6" x14ac:dyDescent="0.35">
      <c r="A29" s="2" t="s">
        <v>20</v>
      </c>
    </row>
    <row r="30" spans="1:6" x14ac:dyDescent="0.35">
      <c r="A30" t="s">
        <v>6</v>
      </c>
      <c r="D30" s="12">
        <f>MIN(D24,D7)</f>
        <v>17631936.921600003</v>
      </c>
      <c r="E30" s="15" t="s">
        <v>27</v>
      </c>
    </row>
    <row r="32" spans="1:6" x14ac:dyDescent="0.35">
      <c r="A32" t="s">
        <v>21</v>
      </c>
      <c r="D32" s="12">
        <f>D6-D30</f>
        <v>7368063.0783999972</v>
      </c>
    </row>
    <row r="34" spans="1:6" x14ac:dyDescent="0.35">
      <c r="A34" s="2" t="s">
        <v>26</v>
      </c>
    </row>
    <row r="35" spans="1:6" x14ac:dyDescent="0.35">
      <c r="A35" t="s">
        <v>5</v>
      </c>
      <c r="D35" s="12">
        <f>((D30-D23)/(1-E35))-(D30-D23)</f>
        <v>1407984.2304000007</v>
      </c>
      <c r="E35" s="6">
        <v>0.2</v>
      </c>
    </row>
    <row r="36" spans="1:6" x14ac:dyDescent="0.35">
      <c r="D36" s="12"/>
    </row>
    <row r="37" spans="1:6" x14ac:dyDescent="0.35">
      <c r="A37" t="s">
        <v>21</v>
      </c>
      <c r="D37" s="12">
        <f>D32-D35</f>
        <v>5960078.8479999965</v>
      </c>
    </row>
    <row r="38" spans="1:6" x14ac:dyDescent="0.35">
      <c r="D38" s="12"/>
    </row>
    <row r="39" spans="1:6" x14ac:dyDescent="0.35">
      <c r="A39" s="2" t="s">
        <v>28</v>
      </c>
      <c r="D39" s="12"/>
    </row>
    <row r="40" spans="1:6" x14ac:dyDescent="0.35">
      <c r="A40" t="s">
        <v>6</v>
      </c>
      <c r="D40" s="12">
        <f>D37*E40</f>
        <v>4768063.0783999972</v>
      </c>
      <c r="E40" s="6">
        <v>0.8</v>
      </c>
    </row>
    <row r="41" spans="1:6" x14ac:dyDescent="0.35">
      <c r="A41" t="s">
        <v>5</v>
      </c>
      <c r="D41" s="12">
        <f>D37*E41</f>
        <v>1192015.7695999993</v>
      </c>
      <c r="E41" s="6">
        <v>0.2</v>
      </c>
    </row>
    <row r="43" spans="1:6" x14ac:dyDescent="0.35">
      <c r="A43" s="7" t="s">
        <v>23</v>
      </c>
      <c r="B43" s="7"/>
      <c r="C43" s="7"/>
      <c r="D43" s="7"/>
      <c r="E43" s="7"/>
      <c r="F43" s="7"/>
    </row>
    <row r="44" spans="1:6" x14ac:dyDescent="0.35">
      <c r="A44" t="s">
        <v>6</v>
      </c>
      <c r="D44" s="12">
        <f>D30+D40</f>
        <v>22400000</v>
      </c>
      <c r="E44" s="3">
        <f>D44/D47</f>
        <v>0.89600000000000002</v>
      </c>
    </row>
    <row r="45" spans="1:6" x14ac:dyDescent="0.35">
      <c r="A45" t="s">
        <v>5</v>
      </c>
      <c r="D45" s="12">
        <f>D35+D41</f>
        <v>2600000</v>
      </c>
      <c r="E45" s="3">
        <f>D45/D47</f>
        <v>0.104</v>
      </c>
    </row>
    <row r="47" spans="1:6" ht="15" thickBot="1" x14ac:dyDescent="0.4">
      <c r="A47" s="14" t="s">
        <v>24</v>
      </c>
      <c r="B47" s="14"/>
      <c r="C47" s="14"/>
      <c r="D47" s="28">
        <f>SUM(D44:D46)</f>
        <v>25000000</v>
      </c>
    </row>
    <row r="48" spans="1:6" ht="15" thickTop="1" x14ac:dyDescent="0.35"/>
  </sheetData>
  <sheetProtection sheet="1" objects="1" scenarios="1" selectLockedCells="0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F225-54FE-4DFC-8992-C2D3F5BA5F25}">
  <dimension ref="A1:K77"/>
  <sheetViews>
    <sheetView showGridLines="0" zoomScale="102" workbookViewId="0">
      <selection activeCell="J18" sqref="J18"/>
    </sheetView>
  </sheetViews>
  <sheetFormatPr defaultRowHeight="14.5" x14ac:dyDescent="0.35"/>
  <cols>
    <col min="3" max="3" width="15" customWidth="1"/>
    <col min="4" max="4" width="13.36328125" bestFit="1" customWidth="1"/>
    <col min="5" max="5" width="12.08984375" customWidth="1"/>
    <col min="6" max="6" width="15.08984375" customWidth="1"/>
    <col min="8" max="8" width="13.08984375" bestFit="1" customWidth="1"/>
    <col min="10" max="10" width="13.6328125" bestFit="1" customWidth="1"/>
    <col min="11" max="11" width="12.54296875" bestFit="1" customWidth="1"/>
  </cols>
  <sheetData>
    <row r="1" spans="1:8" ht="21" x14ac:dyDescent="0.5">
      <c r="A1" s="9" t="s">
        <v>0</v>
      </c>
      <c r="B1" s="10"/>
      <c r="C1" s="10"/>
      <c r="D1" s="10"/>
      <c r="E1" s="10"/>
      <c r="F1" s="10"/>
      <c r="G1" s="10"/>
      <c r="H1" s="10"/>
    </row>
    <row r="2" spans="1:8" ht="18.5" x14ac:dyDescent="0.45">
      <c r="A2" s="11" t="s">
        <v>34</v>
      </c>
      <c r="B2" s="10"/>
      <c r="C2" s="10"/>
      <c r="D2" s="10"/>
      <c r="E2" s="10"/>
      <c r="F2" s="10"/>
      <c r="G2" s="10"/>
      <c r="H2" s="10"/>
    </row>
    <row r="4" spans="1:8" x14ac:dyDescent="0.35">
      <c r="A4" s="7" t="s">
        <v>13</v>
      </c>
      <c r="B4" s="8"/>
      <c r="C4" s="8"/>
      <c r="D4" s="8"/>
      <c r="E4" s="8"/>
      <c r="F4" s="8"/>
      <c r="G4" s="8"/>
      <c r="H4" s="8"/>
    </row>
    <row r="5" spans="1:8" x14ac:dyDescent="0.35">
      <c r="F5" t="s">
        <v>4</v>
      </c>
    </row>
    <row r="6" spans="1:8" x14ac:dyDescent="0.35">
      <c r="A6" t="s">
        <v>2</v>
      </c>
      <c r="D6" s="5">
        <v>-12000000</v>
      </c>
      <c r="F6" s="4">
        <v>44196</v>
      </c>
    </row>
    <row r="7" spans="1:8" x14ac:dyDescent="0.35">
      <c r="A7" t="s">
        <v>3</v>
      </c>
      <c r="D7" s="5">
        <v>25000000</v>
      </c>
      <c r="F7" s="4">
        <v>46022</v>
      </c>
    </row>
    <row r="9" spans="1:8" x14ac:dyDescent="0.35">
      <c r="A9" s="7" t="s">
        <v>14</v>
      </c>
      <c r="B9" s="8"/>
      <c r="C9" s="8"/>
      <c r="D9" s="8"/>
      <c r="E9" s="8"/>
      <c r="F9" s="8"/>
      <c r="G9" s="8"/>
      <c r="H9" s="8"/>
    </row>
    <row r="10" spans="1:8" x14ac:dyDescent="0.35">
      <c r="D10" t="s">
        <v>36</v>
      </c>
    </row>
    <row r="11" spans="1:8" x14ac:dyDescent="0.35">
      <c r="A11" t="s">
        <v>6</v>
      </c>
      <c r="D11" s="5">
        <f>D6</f>
        <v>-12000000</v>
      </c>
    </row>
    <row r="12" spans="1:8" x14ac:dyDescent="0.35">
      <c r="A12" t="s">
        <v>5</v>
      </c>
      <c r="D12" s="5">
        <v>0</v>
      </c>
    </row>
    <row r="13" spans="1:8" x14ac:dyDescent="0.35">
      <c r="A13" t="s">
        <v>35</v>
      </c>
      <c r="D13" s="5">
        <v>0</v>
      </c>
    </row>
    <row r="15" spans="1:8" x14ac:dyDescent="0.35">
      <c r="A15" s="7" t="s">
        <v>15</v>
      </c>
      <c r="B15" s="8"/>
      <c r="C15" s="8"/>
      <c r="D15" s="8"/>
      <c r="E15" s="8"/>
      <c r="F15" s="8"/>
      <c r="G15" s="8"/>
      <c r="H15" s="8"/>
    </row>
    <row r="16" spans="1:8" x14ac:dyDescent="0.35">
      <c r="A16" t="s">
        <v>38</v>
      </c>
    </row>
    <row r="17" spans="1:8" x14ac:dyDescent="0.35">
      <c r="A17" t="s">
        <v>37</v>
      </c>
    </row>
    <row r="19" spans="1:8" x14ac:dyDescent="0.35">
      <c r="A19" s="7" t="s">
        <v>39</v>
      </c>
      <c r="B19" s="8"/>
      <c r="C19" s="8"/>
      <c r="D19" s="8"/>
      <c r="E19" s="8"/>
      <c r="F19" s="8"/>
      <c r="G19" s="8"/>
      <c r="H19" s="8"/>
    </row>
    <row r="20" spans="1:8" x14ac:dyDescent="0.35">
      <c r="C20" s="18" t="s">
        <v>11</v>
      </c>
      <c r="D20" s="18" t="s">
        <v>41</v>
      </c>
      <c r="E20" s="18" t="s">
        <v>40</v>
      </c>
      <c r="F20" s="18" t="s">
        <v>24</v>
      </c>
      <c r="G20" s="18" t="s">
        <v>46</v>
      </c>
    </row>
    <row r="21" spans="1:8" x14ac:dyDescent="0.35">
      <c r="A21" t="str">
        <f>CONCATENATE("IRR Hurdle"," ",1)</f>
        <v>IRR Hurdle 1</v>
      </c>
      <c r="C21" s="19">
        <v>0</v>
      </c>
      <c r="D21" s="19">
        <v>0</v>
      </c>
      <c r="E21" s="19">
        <v>0</v>
      </c>
      <c r="F21" s="20">
        <f>D21+E21</f>
        <v>0</v>
      </c>
      <c r="G21" s="16">
        <f>1-F21</f>
        <v>1</v>
      </c>
    </row>
    <row r="22" spans="1:8" x14ac:dyDescent="0.35">
      <c r="A22" t="str">
        <f>CONCATENATE("IRR Hurdle"," ",RIGHT(A21,1)+1)</f>
        <v>IRR Hurdle 2</v>
      </c>
      <c r="C22" s="19">
        <v>0.08</v>
      </c>
      <c r="D22" s="19">
        <v>0.08</v>
      </c>
      <c r="E22" s="19">
        <v>0.02</v>
      </c>
      <c r="F22" s="20">
        <f t="shared" ref="F22:F28" si="0">D22+E22</f>
        <v>0.1</v>
      </c>
      <c r="G22" s="16">
        <f t="shared" ref="G22:G28" si="1">1-F22</f>
        <v>0.9</v>
      </c>
    </row>
    <row r="23" spans="1:8" x14ac:dyDescent="0.35">
      <c r="A23" t="str">
        <f>CONCATENATE("IRR Hurdle"," ",RIGHT(A22,1)+1)</f>
        <v>IRR Hurdle 3</v>
      </c>
      <c r="C23" s="19">
        <v>0.12</v>
      </c>
      <c r="D23" s="19">
        <v>0.1</v>
      </c>
      <c r="E23" s="19">
        <v>0.03</v>
      </c>
      <c r="F23" s="20">
        <f t="shared" si="0"/>
        <v>0.13</v>
      </c>
      <c r="G23" s="16">
        <f t="shared" si="1"/>
        <v>0.87</v>
      </c>
    </row>
    <row r="24" spans="1:8" x14ac:dyDescent="0.35">
      <c r="A24" t="str">
        <f t="shared" ref="A24:A28" si="2">CONCATENATE("IRR Hurdle"," ",RIGHT(A23,1)+1)</f>
        <v>IRR Hurdle 4</v>
      </c>
      <c r="C24" s="19">
        <v>0.16</v>
      </c>
      <c r="D24" s="19">
        <v>0.14000000000000001</v>
      </c>
      <c r="E24" s="19">
        <v>0.04</v>
      </c>
      <c r="F24" s="20">
        <f t="shared" si="0"/>
        <v>0.18000000000000002</v>
      </c>
      <c r="G24" s="16">
        <f t="shared" si="1"/>
        <v>0.82</v>
      </c>
    </row>
    <row r="25" spans="1:8" x14ac:dyDescent="0.35">
      <c r="A25" t="str">
        <f t="shared" si="2"/>
        <v>IRR Hurdle 5</v>
      </c>
      <c r="C25" s="19">
        <v>0.17</v>
      </c>
      <c r="D25" s="19">
        <v>0.15</v>
      </c>
      <c r="E25" s="19">
        <v>0.05</v>
      </c>
      <c r="F25" s="20">
        <f t="shared" si="0"/>
        <v>0.2</v>
      </c>
      <c r="G25" s="16">
        <f t="shared" si="1"/>
        <v>0.8</v>
      </c>
    </row>
    <row r="26" spans="1:8" x14ac:dyDescent="0.35">
      <c r="A26" t="str">
        <f t="shared" si="2"/>
        <v>IRR Hurdle 6</v>
      </c>
      <c r="C26" s="19">
        <v>0.18</v>
      </c>
      <c r="D26" s="19">
        <v>0.16</v>
      </c>
      <c r="E26" s="19">
        <v>0.06</v>
      </c>
      <c r="F26" s="20">
        <f t="shared" si="0"/>
        <v>0.22</v>
      </c>
      <c r="G26" s="16">
        <f t="shared" si="1"/>
        <v>0.78</v>
      </c>
    </row>
    <row r="27" spans="1:8" x14ac:dyDescent="0.35">
      <c r="A27" t="str">
        <f t="shared" si="2"/>
        <v>IRR Hurdle 7</v>
      </c>
      <c r="C27" s="19">
        <v>0.19</v>
      </c>
      <c r="D27" s="19">
        <v>0.18</v>
      </c>
      <c r="E27" s="19">
        <v>7.0000000000000007E-2</v>
      </c>
      <c r="F27" s="20">
        <f t="shared" si="0"/>
        <v>0.25</v>
      </c>
      <c r="G27" s="16">
        <f t="shared" si="1"/>
        <v>0.75</v>
      </c>
    </row>
    <row r="28" spans="1:8" x14ac:dyDescent="0.35">
      <c r="A28" t="str">
        <f t="shared" si="2"/>
        <v>IRR Hurdle 8</v>
      </c>
      <c r="C28" s="19">
        <v>0.2</v>
      </c>
      <c r="D28" s="19">
        <v>0.2</v>
      </c>
      <c r="E28" s="19">
        <v>0.08</v>
      </c>
      <c r="F28" s="20">
        <f t="shared" si="0"/>
        <v>0.28000000000000003</v>
      </c>
      <c r="G28" s="16">
        <f t="shared" si="1"/>
        <v>0.72</v>
      </c>
    </row>
    <row r="30" spans="1:8" x14ac:dyDescent="0.35">
      <c r="A30" s="7" t="s">
        <v>42</v>
      </c>
      <c r="B30" s="8"/>
      <c r="C30" s="8"/>
      <c r="D30" s="8"/>
      <c r="E30" s="8"/>
      <c r="F30" s="8"/>
      <c r="G30" s="8"/>
      <c r="H30" s="8"/>
    </row>
    <row r="31" spans="1:8" x14ac:dyDescent="0.35">
      <c r="E31" s="15" t="s">
        <v>55</v>
      </c>
    </row>
    <row r="32" spans="1:8" x14ac:dyDescent="0.35">
      <c r="C32" t="s">
        <v>45</v>
      </c>
      <c r="E32" t="s">
        <v>54</v>
      </c>
      <c r="G32" t="s">
        <v>52</v>
      </c>
    </row>
    <row r="33" spans="1:11" x14ac:dyDescent="0.35">
      <c r="C33" t="s">
        <v>44</v>
      </c>
      <c r="E33" t="s">
        <v>43</v>
      </c>
      <c r="G33" t="s">
        <v>53</v>
      </c>
    </row>
    <row r="34" spans="1:11" x14ac:dyDescent="0.35">
      <c r="A34" t="str">
        <f>CONCATENATE("IRR Hurdle"," ",1)</f>
        <v>IRR Hurdle 1</v>
      </c>
      <c r="C34" s="17">
        <f>-$D$6*(1+C21)^5</f>
        <v>12000000</v>
      </c>
      <c r="E34" s="22">
        <f>C34/G21</f>
        <v>12000000</v>
      </c>
      <c r="G34" s="3">
        <f>((E34/-$D$6)^(1/5))-1</f>
        <v>0</v>
      </c>
      <c r="J34" s="21"/>
    </row>
    <row r="35" spans="1:11" x14ac:dyDescent="0.35">
      <c r="A35" t="str">
        <f>CONCATENATE("IRR Hurdle"," ",RIGHT(A34,1)+1)</f>
        <v>IRR Hurdle 2</v>
      </c>
      <c r="C35" s="17">
        <f>-$D$6*(1+C22)^5</f>
        <v>17631936.921600003</v>
      </c>
      <c r="E35" s="22">
        <f>C35/G22</f>
        <v>19591041.024000004</v>
      </c>
      <c r="G35" s="3">
        <f t="shared" ref="G35:G41" si="3">((E35/-$D$6)^(1/5))-1</f>
        <v>0.10299934260814592</v>
      </c>
      <c r="J35" s="21"/>
      <c r="K35" s="21"/>
    </row>
    <row r="36" spans="1:11" x14ac:dyDescent="0.35">
      <c r="A36" t="str">
        <f>CONCATENATE("IRR Hurdle"," ",RIGHT(A35,1)+1)</f>
        <v>IRR Hurdle 3</v>
      </c>
      <c r="C36" s="17">
        <f t="shared" ref="C36:C41" si="4">-$D$6*(1+C23)^5</f>
        <v>21148100.198400006</v>
      </c>
      <c r="E36" s="22">
        <f t="shared" ref="E36:E41" si="5">C36/G23</f>
        <v>24308161.147586215</v>
      </c>
      <c r="G36" s="3">
        <f t="shared" si="3"/>
        <v>0.15163318845914975</v>
      </c>
      <c r="J36" s="22"/>
    </row>
    <row r="37" spans="1:11" x14ac:dyDescent="0.35">
      <c r="A37" t="str">
        <f t="shared" ref="A37:A41" si="6">CONCATENATE("IRR Hurdle"," ",RIGHT(A36,1)+1)</f>
        <v>IRR Hurdle 4</v>
      </c>
      <c r="C37" s="17">
        <f t="shared" si="4"/>
        <v>25204099.891199995</v>
      </c>
      <c r="E37" s="22">
        <f t="shared" si="5"/>
        <v>30736707.184390239</v>
      </c>
      <c r="G37" s="3">
        <f t="shared" si="3"/>
        <v>0.20696650711711273</v>
      </c>
      <c r="J37" s="21"/>
    </row>
    <row r="38" spans="1:11" x14ac:dyDescent="0.35">
      <c r="A38" t="str">
        <f t="shared" si="6"/>
        <v>IRR Hurdle 5</v>
      </c>
      <c r="C38" s="17">
        <f t="shared" si="4"/>
        <v>26309376.428399991</v>
      </c>
      <c r="E38" s="22">
        <f t="shared" si="5"/>
        <v>32886720.535499986</v>
      </c>
      <c r="G38" s="3">
        <f t="shared" si="3"/>
        <v>0.22339827653178967</v>
      </c>
    </row>
    <row r="39" spans="1:11" x14ac:dyDescent="0.35">
      <c r="A39" t="str">
        <f t="shared" si="6"/>
        <v>IRR Hurdle 6</v>
      </c>
      <c r="C39" s="17">
        <f t="shared" si="4"/>
        <v>27453093.081599988</v>
      </c>
      <c r="E39" s="22">
        <f t="shared" si="5"/>
        <v>35196273.181538448</v>
      </c>
      <c r="G39" s="3">
        <f t="shared" si="3"/>
        <v>0.24011821572791203</v>
      </c>
      <c r="J39" s="21"/>
    </row>
    <row r="40" spans="1:11" x14ac:dyDescent="0.35">
      <c r="A40" t="str">
        <f t="shared" si="6"/>
        <v>IRR Hurdle 7</v>
      </c>
      <c r="C40" s="17">
        <f t="shared" si="4"/>
        <v>28636243.918799996</v>
      </c>
      <c r="E40" s="22">
        <f t="shared" si="5"/>
        <v>38181658.558399998</v>
      </c>
      <c r="G40" s="3">
        <f t="shared" si="3"/>
        <v>0.26047637084808661</v>
      </c>
    </row>
    <row r="41" spans="1:11" x14ac:dyDescent="0.35">
      <c r="A41" t="str">
        <f t="shared" si="6"/>
        <v>IRR Hurdle 8</v>
      </c>
      <c r="C41" s="17">
        <f t="shared" si="4"/>
        <v>29859840</v>
      </c>
      <c r="E41" s="22">
        <f t="shared" si="5"/>
        <v>41472000</v>
      </c>
      <c r="G41" s="3">
        <f t="shared" si="3"/>
        <v>0.28148859901472245</v>
      </c>
    </row>
    <row r="43" spans="1:11" x14ac:dyDescent="0.35">
      <c r="A43" s="7" t="s">
        <v>47</v>
      </c>
      <c r="B43" s="8"/>
      <c r="C43" s="8"/>
      <c r="D43" s="8"/>
      <c r="E43" s="8"/>
      <c r="F43" s="8"/>
      <c r="G43" s="8"/>
      <c r="H43" s="8"/>
    </row>
    <row r="44" spans="1:11" x14ac:dyDescent="0.35">
      <c r="C44" s="18" t="s">
        <v>48</v>
      </c>
      <c r="D44" s="18" t="s">
        <v>49</v>
      </c>
      <c r="E44" s="18" t="s">
        <v>50</v>
      </c>
      <c r="F44" s="18" t="s">
        <v>51</v>
      </c>
      <c r="H44" s="18" t="s">
        <v>22</v>
      </c>
    </row>
    <row r="45" spans="1:11" x14ac:dyDescent="0.35">
      <c r="A45" t="str">
        <f>CONCATENATE("IRR Hurdle"," ",1)</f>
        <v>IRR Hurdle 1</v>
      </c>
      <c r="C45" s="20">
        <f t="shared" ref="C45:C52" si="7">G34</f>
        <v>0</v>
      </c>
      <c r="D45" s="23">
        <f t="shared" ref="D45:D52" si="8">-$D$6*(1+C21)^5</f>
        <v>12000000</v>
      </c>
      <c r="E45" s="26" t="s">
        <v>56</v>
      </c>
      <c r="F45" s="26" t="s">
        <v>56</v>
      </c>
      <c r="G45" s="18"/>
      <c r="H45" s="24">
        <f>SUM(D45:F45)</f>
        <v>12000000</v>
      </c>
    </row>
    <row r="46" spans="1:11" x14ac:dyDescent="0.35">
      <c r="A46" t="str">
        <f>CONCATENATE("IRR Hurdle"," ",RIGHT(A45,1)+1)</f>
        <v>IRR Hurdle 2</v>
      </c>
      <c r="C46" s="20">
        <f t="shared" si="7"/>
        <v>0.10299934260814592</v>
      </c>
      <c r="D46" s="23">
        <f t="shared" si="8"/>
        <v>17631936.921600003</v>
      </c>
      <c r="E46" s="24">
        <f t="shared" ref="E46:E52" si="9">(D22/F22)*(E35-C35)</f>
        <v>1567283.2819200007</v>
      </c>
      <c r="F46" s="24">
        <f t="shared" ref="F46:F52" si="10">(E22/F22)*(E35-C35)</f>
        <v>391820.82048000017</v>
      </c>
      <c r="G46" s="18"/>
      <c r="H46" s="24">
        <f t="shared" ref="H46:H52" si="11">SUM(D46:F46)</f>
        <v>19591041.024000004</v>
      </c>
    </row>
    <row r="47" spans="1:11" x14ac:dyDescent="0.35">
      <c r="A47" t="str">
        <f>CONCATENATE("IRR Hurdle"," ",RIGHT(A46,1)+1)</f>
        <v>IRR Hurdle 3</v>
      </c>
      <c r="C47" s="20">
        <f t="shared" si="7"/>
        <v>0.15163318845914975</v>
      </c>
      <c r="D47" s="23">
        <f t="shared" si="8"/>
        <v>21148100.198400006</v>
      </c>
      <c r="E47" s="24">
        <f t="shared" si="9"/>
        <v>2430816.1147586228</v>
      </c>
      <c r="F47" s="24">
        <f t="shared" si="10"/>
        <v>729244.83442758676</v>
      </c>
      <c r="G47" s="18"/>
      <c r="H47" s="24">
        <f t="shared" si="11"/>
        <v>24308161.147586215</v>
      </c>
    </row>
    <row r="48" spans="1:11" x14ac:dyDescent="0.35">
      <c r="A48" t="str">
        <f t="shared" ref="A48:A52" si="12">CONCATENATE("IRR Hurdle"," ",RIGHT(A47,1)+1)</f>
        <v>IRR Hurdle 4</v>
      </c>
      <c r="C48" s="20">
        <f t="shared" si="7"/>
        <v>0.20696650711711273</v>
      </c>
      <c r="D48" s="23">
        <f t="shared" si="8"/>
        <v>25204099.891199995</v>
      </c>
      <c r="E48" s="24">
        <f t="shared" si="9"/>
        <v>4303139.0058146352</v>
      </c>
      <c r="F48" s="24">
        <f t="shared" si="10"/>
        <v>1229468.2873756099</v>
      </c>
      <c r="G48" s="18"/>
      <c r="H48" s="24">
        <f t="shared" si="11"/>
        <v>30736707.184390239</v>
      </c>
    </row>
    <row r="49" spans="1:8" x14ac:dyDescent="0.35">
      <c r="A49" t="str">
        <f t="shared" si="12"/>
        <v>IRR Hurdle 5</v>
      </c>
      <c r="C49" s="20">
        <f t="shared" si="7"/>
        <v>0.22339827653178967</v>
      </c>
      <c r="D49" s="23">
        <f t="shared" si="8"/>
        <v>26309376.428399991</v>
      </c>
      <c r="E49" s="24">
        <f t="shared" si="9"/>
        <v>4933008.0803249953</v>
      </c>
      <c r="F49" s="24">
        <f t="shared" si="10"/>
        <v>1644336.0267749988</v>
      </c>
      <c r="G49" s="18"/>
      <c r="H49" s="24">
        <f t="shared" si="11"/>
        <v>32886720.535499986</v>
      </c>
    </row>
    <row r="50" spans="1:8" x14ac:dyDescent="0.35">
      <c r="A50" t="str">
        <f t="shared" si="12"/>
        <v>IRR Hurdle 6</v>
      </c>
      <c r="C50" s="20">
        <f t="shared" si="7"/>
        <v>0.24011821572791203</v>
      </c>
      <c r="D50" s="23">
        <f t="shared" si="8"/>
        <v>27453093.081599988</v>
      </c>
      <c r="E50" s="24">
        <f t="shared" si="9"/>
        <v>5631403.7090461524</v>
      </c>
      <c r="F50" s="24">
        <f t="shared" si="10"/>
        <v>2111776.3908923068</v>
      </c>
      <c r="G50" s="18"/>
      <c r="H50" s="24">
        <f t="shared" si="11"/>
        <v>35196273.181538448</v>
      </c>
    </row>
    <row r="51" spans="1:8" x14ac:dyDescent="0.35">
      <c r="A51" t="str">
        <f t="shared" si="12"/>
        <v>IRR Hurdle 7</v>
      </c>
      <c r="C51" s="20">
        <f t="shared" si="7"/>
        <v>0.26047637084808661</v>
      </c>
      <c r="D51" s="23">
        <f t="shared" si="8"/>
        <v>28636243.918799996</v>
      </c>
      <c r="E51" s="24">
        <f t="shared" si="9"/>
        <v>6872698.5405120002</v>
      </c>
      <c r="F51" s="24">
        <f t="shared" si="10"/>
        <v>2672716.0990880006</v>
      </c>
      <c r="G51" s="18"/>
      <c r="H51" s="24">
        <f t="shared" si="11"/>
        <v>38181658.558399998</v>
      </c>
    </row>
    <row r="52" spans="1:8" x14ac:dyDescent="0.35">
      <c r="A52" t="str">
        <f t="shared" si="12"/>
        <v>IRR Hurdle 8</v>
      </c>
      <c r="C52" s="20">
        <f t="shared" si="7"/>
        <v>0.28148859901472245</v>
      </c>
      <c r="D52" s="23">
        <f t="shared" si="8"/>
        <v>29859840</v>
      </c>
      <c r="E52" s="24">
        <f t="shared" si="9"/>
        <v>8294400</v>
      </c>
      <c r="F52" s="24">
        <f t="shared" si="10"/>
        <v>3317760</v>
      </c>
      <c r="G52" s="18"/>
      <c r="H52" s="24">
        <f t="shared" si="11"/>
        <v>41472000</v>
      </c>
    </row>
    <row r="54" spans="1:8" ht="18.5" x14ac:dyDescent="0.45">
      <c r="A54" s="11" t="s">
        <v>18</v>
      </c>
      <c r="B54" s="10"/>
      <c r="C54" s="10"/>
      <c r="D54" s="10"/>
      <c r="E54" s="10"/>
      <c r="F54" s="10"/>
      <c r="G54" s="10"/>
      <c r="H54" s="10"/>
    </row>
    <row r="55" spans="1:8" x14ac:dyDescent="0.35">
      <c r="A55" s="2" t="s">
        <v>19</v>
      </c>
      <c r="C55" s="3">
        <f>(D7/-D6)^(1/5) - 1</f>
        <v>0.15811517561929445</v>
      </c>
      <c r="E55" s="2" t="str">
        <f>INDEX(A45:A52,MATCH(C55,C45:C52,1))</f>
        <v>IRR Hurdle 3</v>
      </c>
    </row>
    <row r="57" spans="1:8" x14ac:dyDescent="0.35">
      <c r="A57" s="2" t="s">
        <v>20</v>
      </c>
    </row>
    <row r="58" spans="1:8" x14ac:dyDescent="0.35">
      <c r="A58" t="s">
        <v>6</v>
      </c>
      <c r="C58" s="23">
        <f>VLOOKUP($C$55,$C$44:$F$52,2,TRUE)</f>
        <v>21148100.198400006</v>
      </c>
      <c r="E58" s="3">
        <f>C58/$C$61</f>
        <v>0.86999999999999988</v>
      </c>
    </row>
    <row r="59" spans="1:8" x14ac:dyDescent="0.35">
      <c r="A59" t="s">
        <v>5</v>
      </c>
      <c r="C59" s="23">
        <f>VLOOKUP($C$55,$C$44:$F$52,3,TRUE)</f>
        <v>2430816.1147586228</v>
      </c>
      <c r="E59" s="3">
        <f t="shared" ref="E59:E60" si="13">C59/$C$61</f>
        <v>0.10000000000000005</v>
      </c>
    </row>
    <row r="60" spans="1:8" x14ac:dyDescent="0.35">
      <c r="A60" t="s">
        <v>35</v>
      </c>
      <c r="C60" s="23">
        <f>VLOOKUP($C$55,$C$44:$F$52,4,TRUE)</f>
        <v>729244.83442758676</v>
      </c>
      <c r="E60" s="3">
        <f t="shared" si="13"/>
        <v>3.0000000000000013E-2</v>
      </c>
    </row>
    <row r="61" spans="1:8" ht="15" thickBot="1" x14ac:dyDescent="0.4">
      <c r="C61" s="25">
        <f>SUM(C58:C60)</f>
        <v>24308161.147586215</v>
      </c>
      <c r="E61" s="27">
        <f>SUM(E58:E60)</f>
        <v>1</v>
      </c>
    </row>
    <row r="62" spans="1:8" ht="15" thickTop="1" x14ac:dyDescent="0.35"/>
    <row r="63" spans="1:8" x14ac:dyDescent="0.35">
      <c r="A63" t="s">
        <v>21</v>
      </c>
      <c r="C63" s="12">
        <f>D7-C61</f>
        <v>691838.85241378471</v>
      </c>
    </row>
    <row r="65" spans="1:8" x14ac:dyDescent="0.35">
      <c r="A65" s="2" t="s">
        <v>26</v>
      </c>
    </row>
    <row r="66" spans="1:8" x14ac:dyDescent="0.35">
      <c r="A66" t="s">
        <v>6</v>
      </c>
      <c r="C66" s="12">
        <f>$C$63*E66</f>
        <v>601899.80159999267</v>
      </c>
      <c r="E66" s="16">
        <f>E58</f>
        <v>0.86999999999999988</v>
      </c>
    </row>
    <row r="67" spans="1:8" x14ac:dyDescent="0.35">
      <c r="A67" t="s">
        <v>5</v>
      </c>
      <c r="C67" s="12">
        <f t="shared" ref="C67:C68" si="14">$C$63*E67</f>
        <v>69183.885241378506</v>
      </c>
      <c r="E67" s="16">
        <f t="shared" ref="E67:E68" si="15">E59</f>
        <v>0.10000000000000005</v>
      </c>
    </row>
    <row r="68" spans="1:8" x14ac:dyDescent="0.35">
      <c r="A68" t="s">
        <v>35</v>
      </c>
      <c r="C68" s="12">
        <f t="shared" si="14"/>
        <v>20755.165572413549</v>
      </c>
      <c r="E68" s="16">
        <f t="shared" si="15"/>
        <v>3.0000000000000013E-2</v>
      </c>
    </row>
    <row r="69" spans="1:8" ht="15" thickBot="1" x14ac:dyDescent="0.4">
      <c r="C69" s="28">
        <f>SUM(C66:C68)</f>
        <v>691838.85241378483</v>
      </c>
      <c r="E69" s="27">
        <f>SUM(E66:E68)</f>
        <v>1</v>
      </c>
    </row>
    <row r="70" spans="1:8" ht="15" thickTop="1" x14ac:dyDescent="0.35"/>
    <row r="71" spans="1:8" x14ac:dyDescent="0.35">
      <c r="A71" s="7" t="s">
        <v>23</v>
      </c>
      <c r="B71" s="7"/>
      <c r="C71" s="7"/>
      <c r="D71" s="7"/>
      <c r="E71" s="7"/>
      <c r="F71" s="7"/>
      <c r="G71" s="7"/>
      <c r="H71" s="7"/>
    </row>
    <row r="72" spans="1:8" x14ac:dyDescent="0.35">
      <c r="A72" t="s">
        <v>6</v>
      </c>
      <c r="C72" s="12">
        <f>C66+C58</f>
        <v>21750000</v>
      </c>
      <c r="E72" s="3">
        <f>C72/$C$76</f>
        <v>0.87</v>
      </c>
    </row>
    <row r="73" spans="1:8" x14ac:dyDescent="0.35">
      <c r="A73" t="s">
        <v>5</v>
      </c>
      <c r="C73" s="12">
        <f>C67+C59</f>
        <v>2500000.0000000014</v>
      </c>
      <c r="E73" s="3">
        <f t="shared" ref="E73:E74" si="16">C73/$C$76</f>
        <v>0.10000000000000006</v>
      </c>
    </row>
    <row r="74" spans="1:8" x14ac:dyDescent="0.35">
      <c r="A74" t="s">
        <v>35</v>
      </c>
      <c r="C74" s="12">
        <f>C68+C60</f>
        <v>750000.00000000035</v>
      </c>
      <c r="D74" s="13"/>
      <c r="E74" s="3">
        <f t="shared" si="16"/>
        <v>3.0000000000000013E-2</v>
      </c>
    </row>
    <row r="75" spans="1:8" x14ac:dyDescent="0.35">
      <c r="C75" s="12"/>
    </row>
    <row r="76" spans="1:8" ht="15" thickBot="1" x14ac:dyDescent="0.4">
      <c r="A76" s="14" t="s">
        <v>24</v>
      </c>
      <c r="B76" s="14"/>
      <c r="C76" s="28">
        <f>SUM(C72:C75)</f>
        <v>25000000</v>
      </c>
      <c r="E76" s="27">
        <f>SUM(E72:E75)</f>
        <v>1</v>
      </c>
    </row>
    <row r="77" spans="1:8" ht="15" thickTop="1" x14ac:dyDescent="0.35"/>
  </sheetData>
  <sheetProtection sheet="1" objects="1" scenarios="1" selectLockedCells="0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4300-E5C2-439C-B8F7-C226B3B4B95E}">
  <dimension ref="A1:J28"/>
  <sheetViews>
    <sheetView showGridLines="0" workbookViewId="0">
      <selection activeCell="A32" sqref="A32"/>
    </sheetView>
  </sheetViews>
  <sheetFormatPr defaultRowHeight="14.5" x14ac:dyDescent="0.35"/>
  <cols>
    <col min="3" max="3" width="12.6328125" bestFit="1" customWidth="1"/>
    <col min="4" max="4" width="12" bestFit="1" customWidth="1"/>
    <col min="5" max="5" width="12.6328125" bestFit="1" customWidth="1"/>
    <col min="6" max="6" width="10.453125" bestFit="1" customWidth="1"/>
    <col min="7" max="7" width="11" bestFit="1" customWidth="1"/>
    <col min="8" max="8" width="12" bestFit="1" customWidth="1"/>
    <col min="9" max="9" width="11" bestFit="1" customWidth="1"/>
    <col min="10" max="10" width="12" bestFit="1" customWidth="1"/>
  </cols>
  <sheetData>
    <row r="1" spans="1:10" ht="21" x14ac:dyDescent="0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5">
      <c r="A3" s="7" t="s">
        <v>58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35">
      <c r="D4" t="s">
        <v>2</v>
      </c>
      <c r="F4" s="18" t="s">
        <v>59</v>
      </c>
    </row>
    <row r="5" spans="1:10" x14ac:dyDescent="0.35">
      <c r="A5" t="s">
        <v>6</v>
      </c>
      <c r="D5" s="5">
        <v>10000000</v>
      </c>
      <c r="F5" s="6">
        <f>D5/$D$7</f>
        <v>1</v>
      </c>
    </row>
    <row r="6" spans="1:10" x14ac:dyDescent="0.35">
      <c r="A6" t="s">
        <v>5</v>
      </c>
      <c r="D6" s="5">
        <v>0</v>
      </c>
      <c r="F6" s="6">
        <f>D6/$D$7</f>
        <v>0</v>
      </c>
    </row>
    <row r="7" spans="1:10" ht="15" thickBot="1" x14ac:dyDescent="0.4">
      <c r="D7" s="28">
        <f>SUM(D5:D6)</f>
        <v>10000000</v>
      </c>
    </row>
    <row r="8" spans="1:10" ht="15" thickTop="1" x14ac:dyDescent="0.35"/>
    <row r="9" spans="1:10" x14ac:dyDescent="0.35">
      <c r="A9" s="7" t="s">
        <v>39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35">
      <c r="D10" s="35" t="s">
        <v>60</v>
      </c>
      <c r="E10" s="35"/>
    </row>
    <row r="11" spans="1:10" x14ac:dyDescent="0.35">
      <c r="C11" s="18"/>
      <c r="D11" s="18" t="s">
        <v>6</v>
      </c>
      <c r="E11" s="18" t="s">
        <v>5</v>
      </c>
      <c r="F11" s="18"/>
    </row>
    <row r="12" spans="1:10" x14ac:dyDescent="0.35">
      <c r="A12" t="str">
        <f>CONCATENATE("IRR Hurdle"," ",1)</f>
        <v>IRR Hurdle 1</v>
      </c>
      <c r="C12" s="19">
        <v>0.08</v>
      </c>
      <c r="D12" s="19">
        <v>1</v>
      </c>
      <c r="E12" s="20">
        <f>1-D12</f>
        <v>0</v>
      </c>
      <c r="F12" s="18"/>
    </row>
    <row r="13" spans="1:10" x14ac:dyDescent="0.35">
      <c r="A13" t="str">
        <f>CONCATENATE("IRR Hurdle"," ",RIGHT(A12,1)+1)</f>
        <v>IRR Hurdle 2</v>
      </c>
      <c r="C13" s="19">
        <v>0.12</v>
      </c>
      <c r="D13" s="19">
        <v>0.85</v>
      </c>
      <c r="E13" s="20">
        <f t="shared" ref="E13:E16" si="0">1-D13</f>
        <v>0.15000000000000002</v>
      </c>
      <c r="F13" s="18"/>
    </row>
    <row r="14" spans="1:10" x14ac:dyDescent="0.35">
      <c r="A14" t="str">
        <f>CONCATENATE("IRR Hurdle"," ",RIGHT(A13,1)+1)</f>
        <v>IRR Hurdle 3</v>
      </c>
      <c r="C14" s="19">
        <v>0.15</v>
      </c>
      <c r="D14" s="19">
        <v>0.75</v>
      </c>
      <c r="E14" s="20">
        <f t="shared" si="0"/>
        <v>0.25</v>
      </c>
      <c r="F14" s="18"/>
    </row>
    <row r="15" spans="1:10" x14ac:dyDescent="0.35">
      <c r="A15" t="str">
        <f t="shared" ref="A15:A16" si="1">CONCATENATE("IRR Hurdle"," ",RIGHT(A14,1)+1)</f>
        <v>IRR Hurdle 4</v>
      </c>
      <c r="C15" s="19">
        <v>0.17</v>
      </c>
      <c r="D15" s="19">
        <v>0.6</v>
      </c>
      <c r="E15" s="20">
        <f t="shared" si="0"/>
        <v>0.4</v>
      </c>
      <c r="F15" s="18"/>
    </row>
    <row r="16" spans="1:10" x14ac:dyDescent="0.35">
      <c r="A16" t="str">
        <f t="shared" si="1"/>
        <v>IRR Hurdle 5</v>
      </c>
      <c r="C16" s="19">
        <v>0.2</v>
      </c>
      <c r="D16" s="19">
        <v>0.5</v>
      </c>
      <c r="E16" s="20">
        <f t="shared" si="0"/>
        <v>0.5</v>
      </c>
      <c r="F16" s="18"/>
    </row>
    <row r="18" spans="1:10" x14ac:dyDescent="0.35">
      <c r="A18" s="7" t="s">
        <v>61</v>
      </c>
      <c r="B18" s="8"/>
      <c r="C18" s="8"/>
      <c r="D18" s="8"/>
      <c r="E18" s="8"/>
      <c r="F18" s="8"/>
      <c r="G18" s="8"/>
      <c r="H18" s="8"/>
      <c r="I18" s="8"/>
      <c r="J18" s="8"/>
    </row>
    <row r="20" spans="1:10" x14ac:dyDescent="0.35">
      <c r="A20" t="s">
        <v>62</v>
      </c>
      <c r="E20" s="33" t="s">
        <v>65</v>
      </c>
      <c r="F20" s="33" t="str">
        <f>CONCATENATE("Year"," ",RIGHT(E20,1)+1)</f>
        <v>Year 1</v>
      </c>
      <c r="G20" s="33" t="str">
        <f t="shared" ref="G20:J20" si="2">CONCATENATE("Year"," ",RIGHT(F20,1)+1)</f>
        <v>Year 2</v>
      </c>
      <c r="H20" s="33" t="str">
        <f t="shared" si="2"/>
        <v>Year 3</v>
      </c>
      <c r="I20" s="33" t="str">
        <f t="shared" si="2"/>
        <v>Year 4</v>
      </c>
      <c r="J20" s="33" t="str">
        <f t="shared" si="2"/>
        <v>Year 5</v>
      </c>
    </row>
    <row r="21" spans="1:10" x14ac:dyDescent="0.35">
      <c r="A21" t="s">
        <v>4</v>
      </c>
      <c r="E21" s="1">
        <v>44196</v>
      </c>
      <c r="F21" s="1">
        <f>DATE(YEAR(E21)+1,MONTH(E21),DAY(E21))</f>
        <v>44561</v>
      </c>
      <c r="G21" s="1">
        <f t="shared" ref="G21:J21" si="3">DATE(YEAR(F21)+1,MONTH(F21),DAY(F21))</f>
        <v>44926</v>
      </c>
      <c r="H21" s="1">
        <f t="shared" si="3"/>
        <v>45291</v>
      </c>
      <c r="I21" s="1">
        <f t="shared" si="3"/>
        <v>45657</v>
      </c>
      <c r="J21" s="1">
        <f t="shared" si="3"/>
        <v>46022</v>
      </c>
    </row>
    <row r="22" spans="1:10" x14ac:dyDescent="0.35">
      <c r="A22" t="s">
        <v>63</v>
      </c>
      <c r="E22" s="12">
        <f>-D5</f>
        <v>-10000000</v>
      </c>
      <c r="F22" s="5">
        <v>500000</v>
      </c>
      <c r="G22" s="5">
        <v>500000</v>
      </c>
      <c r="H22" s="5">
        <v>750000</v>
      </c>
      <c r="I22" s="5">
        <v>1000000</v>
      </c>
      <c r="J22" s="5">
        <v>20000000</v>
      </c>
    </row>
    <row r="23" spans="1:10" x14ac:dyDescent="0.35">
      <c r="A23" s="30" t="s">
        <v>64</v>
      </c>
      <c r="B23" s="30"/>
      <c r="E23" s="31">
        <f>XIRR(E22:J22,E21:J21)</f>
        <v>0.19242014288902284</v>
      </c>
    </row>
    <row r="25" spans="1:10" s="29" customFormat="1" x14ac:dyDescent="0.35">
      <c r="A25" s="29" t="s">
        <v>66</v>
      </c>
      <c r="C25" s="32">
        <f>C12</f>
        <v>0.08</v>
      </c>
    </row>
    <row r="27" spans="1:10" x14ac:dyDescent="0.35">
      <c r="A27" t="s">
        <v>67</v>
      </c>
    </row>
    <row r="28" spans="1:10" x14ac:dyDescent="0.35">
      <c r="A28" t="s">
        <v>10</v>
      </c>
    </row>
  </sheetData>
  <sheetProtection sheet="1" objects="1" scenarios="1" selectLockedCells="0" selectUnlockedCells="1"/>
  <mergeCells count="1"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80-20 Split</vt:lpstr>
      <vt:lpstr>20% &amp; 80-20 Split</vt:lpstr>
      <vt:lpstr>20% After Principal &amp; 80-20 Spl</vt:lpstr>
      <vt:lpstr>IRR Hurdles</vt:lpstr>
      <vt:lpstr>PE 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Kothari</dc:creator>
  <cp:lastModifiedBy>Ria Kothari</cp:lastModifiedBy>
  <dcterms:created xsi:type="dcterms:W3CDTF">2025-05-03T19:54:53Z</dcterms:created>
  <dcterms:modified xsi:type="dcterms:W3CDTF">2025-05-08T04:52:15Z</dcterms:modified>
</cp:coreProperties>
</file>