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drawings/drawing3.xml" ContentType="application/vnd.openxmlformats-officedocument.drawing+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charts/chartEx1.xml" ContentType="application/vnd.ms-office.chartex+xml"/>
  <Override PartName="/xl/charts/style4.xml" ContentType="application/vnd.ms-office.chartstyle+xml"/>
  <Override PartName="/xl/charts/colors4.xml" ContentType="application/vnd.ms-office.chartcolorstyle+xml"/>
  <Override PartName="/xl/drawings/drawing12.xml" ContentType="application/vnd.openxmlformats-officedocument.drawing+xml"/>
  <Override PartName="/xl/charts/chart7.xml" ContentType="application/vnd.openxmlformats-officedocument.drawingml.chart+xml"/>
  <Override PartName="/xl/charts/style5.xml" ContentType="application/vnd.ms-office.chartstyle+xml"/>
  <Override PartName="/xl/charts/colors5.xml" ContentType="application/vnd.ms-office.chartcolorstyle+xml"/>
  <Override PartName="/xl/charts/chart8.xml" ContentType="application/vnd.openxmlformats-officedocument.drawingml.chart+xml"/>
  <Override PartName="/xl/charts/style6.xml" ContentType="application/vnd.ms-office.chartstyle+xml"/>
  <Override PartName="/xl/charts/colors6.xml" ContentType="application/vnd.ms-office.chartcolorstyle+xml"/>
  <Override PartName="/xl/charts/chart9.xml" ContentType="application/vnd.openxmlformats-officedocument.drawingml.chart+xml"/>
  <Override PartName="/xl/charts/style7.xml" ContentType="application/vnd.ms-office.chartstyle+xml"/>
  <Override PartName="/xl/charts/colors7.xml" ContentType="application/vnd.ms-office.chartcolorstyle+xml"/>
  <Override PartName="/xl/charts/chart10.xml" ContentType="application/vnd.openxmlformats-officedocument.drawingml.chart+xml"/>
  <Override PartName="/xl/charts/style8.xml" ContentType="application/vnd.ms-office.chartstyle+xml"/>
  <Override PartName="/xl/charts/colors8.xml" ContentType="application/vnd.ms-office.chartcolorstyle+xml"/>
  <Override PartName="/xl/charts/chart11.xml" ContentType="application/vnd.openxmlformats-officedocument.drawingml.chart+xml"/>
  <Override PartName="/xl/charts/style9.xml" ContentType="application/vnd.ms-office.chartstyle+xml"/>
  <Override PartName="/xl/charts/colors9.xml" ContentType="application/vnd.ms-office.chartcolorstyle+xml"/>
  <Override PartName="/xl/charts/chart12.xml" ContentType="application/vnd.openxmlformats-officedocument.drawingml.chart+xml"/>
  <Override PartName="/xl/charts/style10.xml" ContentType="application/vnd.ms-office.chartstyle+xml"/>
  <Override PartName="/xl/charts/colors10.xml" ContentType="application/vnd.ms-office.chartcolorstyle+xml"/>
  <Override PartName="/xl/charts/chart13.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13.xml" ContentType="application/vnd.openxmlformats-officedocument.drawing+xml"/>
  <Override PartName="/xl/charts/chart14.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166925"/>
  <mc:AlternateContent xmlns:mc="http://schemas.openxmlformats.org/markup-compatibility/2006">
    <mc:Choice Requires="x15">
      <x15ac:absPath xmlns:x15ac="http://schemas.microsoft.com/office/spreadsheetml/2010/11/ac" url="C:\Users\Ria\Documents\Simon_MSF_2024\Financial Model for Apple\"/>
    </mc:Choice>
  </mc:AlternateContent>
  <xr:revisionPtr revIDLastSave="0" documentId="13_ncr:1_{C185D717-7EE5-4D2F-BF5C-9395922542A9}" xr6:coauthVersionLast="47" xr6:coauthVersionMax="47" xr10:uidLastSave="{00000000-0000-0000-0000-000000000000}"/>
  <bookViews>
    <workbookView xWindow="-110" yWindow="-110" windowWidth="22780" windowHeight="14540" firstSheet="2" activeTab="7" xr2:uid="{D369A726-9FE6-411B-87C0-C3598A57B106}"/>
  </bookViews>
  <sheets>
    <sheet name="One Page Profile" sheetId="28" r:id="rId1"/>
    <sheet name="Financials&gt;" sheetId="5" r:id="rId2"/>
    <sheet name="Historical &amp; Forecasted FS" sheetId="4" r:id="rId3"/>
    <sheet name="Specific Forecasts" sheetId="10" r:id="rId4"/>
    <sheet name="Ratio Analysis" sheetId="8" r:id="rId5"/>
    <sheet name="Common Size Statements" sheetId="16" r:id="rId6"/>
    <sheet name="DCF&gt;" sheetId="13" r:id="rId7"/>
    <sheet name="WACC" sheetId="11" r:id="rId8"/>
    <sheet name="Regression Beta" sheetId="14" r:id="rId9"/>
    <sheet name="Intrinsic Growth" sheetId="17" r:id="rId10"/>
    <sheet name="DCF" sheetId="18" r:id="rId11"/>
    <sheet name="Relative Valuation" sheetId="20" r:id="rId12"/>
    <sheet name="Risk" sheetId="23" r:id="rId13"/>
    <sheet name="Dupont Analysis" sheetId="26" r:id="rId14"/>
    <sheet name="Data&gt;" sheetId="6" r:id="rId15"/>
    <sheet name="Data Sheet" sheetId="3" r:id="rId16"/>
  </sheets>
  <definedNames>
    <definedName name="_xlnm._FilterDatabase" localSheetId="12" hidden="1">Risk!$B$8:$E$8</definedName>
    <definedName name="_xlchart.v1.0" hidden="1">Risk!$G$10:$G$482</definedName>
    <definedName name="Beta">#REF!</definedName>
    <definedName name="CostofDebt">#REF!</definedName>
    <definedName name="DebtValue">#REF!</definedName>
    <definedName name="EquityValue">#REF!</definedName>
    <definedName name="MarketReturns">#REF!</definedName>
    <definedName name="_xlnm.Print_Area" localSheetId="10">DCF!$A$1:$N$48</definedName>
    <definedName name="_xlnm.Print_Area" localSheetId="13">'Dupont Analysis'!$B$38:$K$77</definedName>
    <definedName name="_xlnm.Print_Area" localSheetId="2">'Historical &amp; Forecasted FS'!$B$111:$R$152</definedName>
    <definedName name="_xlnm.Print_Area" localSheetId="0">'One Page Profile'!$B$2:$O$58</definedName>
    <definedName name="_xlnm.Print_Area" localSheetId="8">'Regression Beta'!$A$1:$S$47</definedName>
    <definedName name="_xlnm.Print_Area" localSheetId="12">Risk!$A$1:$O$51</definedName>
    <definedName name="RiskFreeRate">#REF!</definedName>
    <definedName name="TaxRate">#REF!</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N11" i="4" l="1"/>
  <c r="K15" i="14"/>
  <c r="K10" i="14"/>
  <c r="K18" i="23"/>
  <c r="G10" i="23"/>
  <c r="L10" i="23"/>
  <c r="F14" i="18"/>
  <c r="K13" i="18"/>
  <c r="J13" i="18"/>
  <c r="I13" i="18"/>
  <c r="H13" i="18"/>
  <c r="G13" i="18"/>
  <c r="F13" i="18"/>
  <c r="F12" i="18"/>
  <c r="K11" i="18"/>
  <c r="J11" i="18"/>
  <c r="I11" i="18"/>
  <c r="H11" i="18"/>
  <c r="G11" i="18"/>
  <c r="F11" i="18"/>
  <c r="F10" i="18"/>
  <c r="G10" i="18"/>
  <c r="H10" i="18" s="1"/>
  <c r="I10" i="18" s="1"/>
  <c r="J10" i="18" s="1"/>
  <c r="K10" i="18" s="1"/>
  <c r="R145" i="4"/>
  <c r="R102" i="4"/>
  <c r="Q102" i="4"/>
  <c r="P102" i="4"/>
  <c r="O102" i="4"/>
  <c r="R55" i="4"/>
  <c r="Q55" i="4"/>
  <c r="I113" i="4" l="1"/>
  <c r="J113" i="4" s="1"/>
  <c r="K113" i="4" s="1"/>
  <c r="L113" i="4" s="1"/>
  <c r="N113" i="4" s="1"/>
  <c r="O113" i="4" s="1"/>
  <c r="P113" i="4" s="1"/>
  <c r="Q113" i="4" s="1"/>
  <c r="R113" i="4" s="1"/>
  <c r="D113" i="4"/>
  <c r="E113" i="4" s="1"/>
  <c r="F113" i="4" s="1"/>
  <c r="G113" i="4" s="1"/>
  <c r="N112" i="4"/>
  <c r="B112" i="4"/>
  <c r="B61" i="4" l="1"/>
  <c r="B5" i="4"/>
  <c r="I62" i="4"/>
  <c r="J62" i="4" s="1"/>
  <c r="K62" i="4" s="1"/>
  <c r="L62" i="4" s="1"/>
  <c r="N62" i="4" s="1"/>
  <c r="O62" i="4" s="1"/>
  <c r="P62" i="4" s="1"/>
  <c r="Q62" i="4" s="1"/>
  <c r="R62" i="4" s="1"/>
  <c r="D62" i="4"/>
  <c r="E62" i="4" s="1"/>
  <c r="F62" i="4" s="1"/>
  <c r="G62" i="4" s="1"/>
  <c r="N61" i="4"/>
  <c r="L66" i="4"/>
  <c r="H69" i="4"/>
  <c r="H64" i="4"/>
  <c r="I149" i="4" s="1"/>
  <c r="I64" i="4"/>
  <c r="J64" i="4"/>
  <c r="K149" i="4" s="1"/>
  <c r="K64" i="4"/>
  <c r="L64" i="4"/>
  <c r="N64" i="4" s="1"/>
  <c r="O64" i="4" s="1"/>
  <c r="P64" i="4" s="1"/>
  <c r="Q64" i="4" s="1"/>
  <c r="R64" i="4" s="1"/>
  <c r="M64" i="4"/>
  <c r="R52" i="28"/>
  <c r="O50" i="4"/>
  <c r="P50" i="4" s="1"/>
  <c r="Q50" i="4" s="1"/>
  <c r="R50" i="4" s="1"/>
  <c r="W44" i="28"/>
  <c r="W43" i="28"/>
  <c r="W42" i="28"/>
  <c r="W41" i="28"/>
  <c r="W40" i="28"/>
  <c r="W39" i="28"/>
  <c r="B18" i="28"/>
  <c r="B25" i="28"/>
  <c r="B23" i="28"/>
  <c r="B22" i="28"/>
  <c r="B21" i="28"/>
  <c r="B150" i="4"/>
  <c r="B149" i="4"/>
  <c r="N149" i="4" l="1"/>
  <c r="J149" i="4"/>
  <c r="L149" i="4"/>
  <c r="G15" i="11"/>
  <c r="H15" i="11"/>
  <c r="G40" i="26"/>
  <c r="G46" i="26" s="1"/>
  <c r="G62" i="26" s="1"/>
  <c r="G68" i="26" s="1"/>
  <c r="B6" i="8"/>
  <c r="D7" i="8"/>
  <c r="E7" i="8" s="1"/>
  <c r="F7" i="8" s="1"/>
  <c r="G7" i="8" s="1"/>
  <c r="I7" i="8"/>
  <c r="F20" i="28" s="1"/>
  <c r="F10" i="28" s="1"/>
  <c r="B6" i="10"/>
  <c r="G6" i="10"/>
  <c r="L6" i="10"/>
  <c r="Q37" i="8"/>
  <c r="G374" i="3"/>
  <c r="G375" i="3"/>
  <c r="G376" i="3"/>
  <c r="G377" i="3"/>
  <c r="G378" i="3"/>
  <c r="G379" i="3"/>
  <c r="G380" i="3"/>
  <c r="Q18" i="8" s="1"/>
  <c r="G381" i="3"/>
  <c r="G382" i="3"/>
  <c r="G383" i="3"/>
  <c r="G384" i="3"/>
  <c r="G385" i="3"/>
  <c r="G386" i="3"/>
  <c r="G387" i="3"/>
  <c r="G388" i="3"/>
  <c r="G389" i="3"/>
  <c r="G390" i="3"/>
  <c r="G391" i="3"/>
  <c r="G392" i="3"/>
  <c r="G393" i="3"/>
  <c r="G394" i="3"/>
  <c r="G395" i="3"/>
  <c r="G396" i="3" s="1"/>
  <c r="Q26" i="8" s="1"/>
  <c r="G397" i="3"/>
  <c r="G398" i="3"/>
  <c r="G399" i="3"/>
  <c r="G400" i="3"/>
  <c r="G401" i="3"/>
  <c r="G402" i="3"/>
  <c r="G403" i="3"/>
  <c r="G404" i="3"/>
  <c r="G405" i="3"/>
  <c r="G406" i="3"/>
  <c r="G407" i="3"/>
  <c r="G408" i="3"/>
  <c r="G409" i="3"/>
  <c r="G410" i="3"/>
  <c r="G411" i="3"/>
  <c r="G412" i="3"/>
  <c r="G413" i="3"/>
  <c r="G414" i="3"/>
  <c r="G415" i="3"/>
  <c r="G416" i="3"/>
  <c r="G417" i="3"/>
  <c r="G418" i="3"/>
  <c r="G419" i="3"/>
  <c r="G420" i="3"/>
  <c r="G421" i="3"/>
  <c r="G422" i="3"/>
  <c r="G423" i="3"/>
  <c r="G424" i="3"/>
  <c r="G425" i="3"/>
  <c r="G426" i="3"/>
  <c r="G427" i="3"/>
  <c r="G428" i="3"/>
  <c r="G429" i="3"/>
  <c r="G430" i="3"/>
  <c r="G431" i="3"/>
  <c r="G432" i="3"/>
  <c r="G433" i="3"/>
  <c r="G434" i="3"/>
  <c r="G435" i="3"/>
  <c r="G436" i="3"/>
  <c r="G437" i="3"/>
  <c r="G438" i="3"/>
  <c r="G439" i="3"/>
  <c r="G440" i="3"/>
  <c r="G441" i="3"/>
  <c r="G442" i="3"/>
  <c r="G443" i="3"/>
  <c r="G444" i="3"/>
  <c r="G445" i="3"/>
  <c r="G446" i="3"/>
  <c r="G447" i="3"/>
  <c r="G448" i="3"/>
  <c r="G449" i="3"/>
  <c r="G450" i="3"/>
  <c r="G451" i="3"/>
  <c r="G452" i="3"/>
  <c r="G453" i="3"/>
  <c r="G454" i="3"/>
  <c r="G455" i="3"/>
  <c r="G456" i="3"/>
  <c r="G457" i="3"/>
  <c r="G458" i="3"/>
  <c r="G459" i="3"/>
  <c r="G460" i="3"/>
  <c r="G461" i="3"/>
  <c r="Q48" i="8" s="1"/>
  <c r="G462" i="3"/>
  <c r="G463" i="3"/>
  <c r="G464" i="3"/>
  <c r="G465" i="3"/>
  <c r="G466" i="3"/>
  <c r="G467" i="3"/>
  <c r="G468" i="3"/>
  <c r="G469" i="3"/>
  <c r="G470" i="3"/>
  <c r="G373" i="3"/>
  <c r="Q41" i="8"/>
  <c r="Q17" i="8"/>
  <c r="Q15" i="8"/>
  <c r="H360" i="3"/>
  <c r="G360" i="3"/>
  <c r="H359" i="3"/>
  <c r="G359" i="3"/>
  <c r="H358" i="3"/>
  <c r="G358" i="3"/>
  <c r="H357" i="3"/>
  <c r="G357" i="3"/>
  <c r="H356" i="3"/>
  <c r="G356" i="3"/>
  <c r="H355" i="3"/>
  <c r="G355" i="3"/>
  <c r="H354" i="3"/>
  <c r="G354" i="3"/>
  <c r="H353" i="3"/>
  <c r="G353" i="3"/>
  <c r="H352" i="3"/>
  <c r="G352" i="3"/>
  <c r="H351" i="3"/>
  <c r="G351" i="3"/>
  <c r="Q29" i="8" s="1"/>
  <c r="H350" i="3"/>
  <c r="G350" i="3"/>
  <c r="H349" i="3"/>
  <c r="G349" i="3"/>
  <c r="H348" i="3"/>
  <c r="G348" i="3"/>
  <c r="H347" i="3"/>
  <c r="G347" i="3"/>
  <c r="H346" i="3"/>
  <c r="G346" i="3"/>
  <c r="H345" i="3"/>
  <c r="G345" i="3"/>
  <c r="H344" i="3"/>
  <c r="G344" i="3"/>
  <c r="H343" i="3"/>
  <c r="G343" i="3"/>
  <c r="H342" i="3"/>
  <c r="G342" i="3"/>
  <c r="H341" i="3"/>
  <c r="G341" i="3"/>
  <c r="Q43" i="8" s="1"/>
  <c r="H340" i="3"/>
  <c r="G340" i="3"/>
  <c r="H339" i="3"/>
  <c r="G339" i="3"/>
  <c r="Q42" i="8" s="1"/>
  <c r="H338" i="3"/>
  <c r="G338" i="3"/>
  <c r="Q40" i="8" s="1"/>
  <c r="H337" i="3"/>
  <c r="G337" i="3"/>
  <c r="H336" i="3"/>
  <c r="G336" i="3"/>
  <c r="H335" i="3"/>
  <c r="G335" i="3"/>
  <c r="H334" i="3"/>
  <c r="G334" i="3"/>
  <c r="H333" i="3"/>
  <c r="G333" i="3"/>
  <c r="H332" i="3"/>
  <c r="G332" i="3"/>
  <c r="H331" i="3"/>
  <c r="G331" i="3"/>
  <c r="H330" i="3"/>
  <c r="G330" i="3"/>
  <c r="H329" i="3"/>
  <c r="G329" i="3"/>
  <c r="H328" i="3"/>
  <c r="G328" i="3"/>
  <c r="H327" i="3"/>
  <c r="G327" i="3"/>
  <c r="H326" i="3"/>
  <c r="G326" i="3"/>
  <c r="H325" i="3"/>
  <c r="G325" i="3"/>
  <c r="H324" i="3"/>
  <c r="G324" i="3"/>
  <c r="H323" i="3"/>
  <c r="G323" i="3"/>
  <c r="H322" i="3"/>
  <c r="G322" i="3"/>
  <c r="H321" i="3"/>
  <c r="G321" i="3"/>
  <c r="Q35" i="8" s="1"/>
  <c r="H320" i="3"/>
  <c r="G320" i="3"/>
  <c r="Q33" i="8" s="1"/>
  <c r="H319" i="3"/>
  <c r="G319" i="3"/>
  <c r="Q36" i="8" s="1"/>
  <c r="H318" i="3"/>
  <c r="G318" i="3"/>
  <c r="H315" i="3"/>
  <c r="G315" i="3"/>
  <c r="H314" i="3"/>
  <c r="G314" i="3"/>
  <c r="H313" i="3"/>
  <c r="G313" i="3"/>
  <c r="H312" i="3"/>
  <c r="G312" i="3"/>
  <c r="H311" i="3"/>
  <c r="G311" i="3"/>
  <c r="Q19" i="8" s="1"/>
  <c r="H310" i="3"/>
  <c r="G310" i="3"/>
  <c r="H307" i="3"/>
  <c r="G307" i="3"/>
  <c r="H306" i="3"/>
  <c r="G306" i="3"/>
  <c r="H305" i="3"/>
  <c r="G305" i="3"/>
  <c r="Q16" i="8" s="1"/>
  <c r="H304" i="3"/>
  <c r="G304" i="3"/>
  <c r="H303" i="3"/>
  <c r="G303" i="3"/>
  <c r="H300" i="3"/>
  <c r="G300" i="3"/>
  <c r="H299" i="3"/>
  <c r="G299" i="3"/>
  <c r="Q27" i="8" s="1"/>
  <c r="H298" i="3"/>
  <c r="G298" i="3"/>
  <c r="Q25" i="8" s="1"/>
  <c r="H297" i="3"/>
  <c r="G297" i="3"/>
  <c r="G34" i="18"/>
  <c r="B6" i="23"/>
  <c r="L13" i="23"/>
  <c r="L29" i="23"/>
  <c r="J35" i="23"/>
  <c r="J34" i="23"/>
  <c r="J33" i="23"/>
  <c r="J32" i="23"/>
  <c r="L18" i="23"/>
  <c r="M18" i="23" s="1"/>
  <c r="D482" i="23"/>
  <c r="D481" i="23"/>
  <c r="D480" i="23"/>
  <c r="D479" i="23"/>
  <c r="D478" i="23"/>
  <c r="D477" i="23"/>
  <c r="D476" i="23"/>
  <c r="D475" i="23"/>
  <c r="D474" i="23"/>
  <c r="D473" i="23"/>
  <c r="D472" i="23"/>
  <c r="D471" i="23"/>
  <c r="D470" i="23"/>
  <c r="D469" i="23"/>
  <c r="D468" i="23"/>
  <c r="D467" i="23"/>
  <c r="D466" i="23"/>
  <c r="D465" i="23"/>
  <c r="D464" i="23"/>
  <c r="D463" i="23"/>
  <c r="D462" i="23"/>
  <c r="D461" i="23"/>
  <c r="D460" i="23"/>
  <c r="D459" i="23"/>
  <c r="D458" i="23"/>
  <c r="D457" i="23"/>
  <c r="D456" i="23"/>
  <c r="D455" i="23"/>
  <c r="D454" i="23"/>
  <c r="D453" i="23"/>
  <c r="D452" i="23"/>
  <c r="D451" i="23"/>
  <c r="D450" i="23"/>
  <c r="D449" i="23"/>
  <c r="D448" i="23"/>
  <c r="D447" i="23"/>
  <c r="D446" i="23"/>
  <c r="D445" i="23"/>
  <c r="D444" i="23"/>
  <c r="D443" i="23"/>
  <c r="D442" i="23"/>
  <c r="D441" i="23"/>
  <c r="D440" i="23"/>
  <c r="D439" i="23"/>
  <c r="D438" i="23"/>
  <c r="D437" i="23"/>
  <c r="D436" i="23"/>
  <c r="D435" i="23"/>
  <c r="D434" i="23"/>
  <c r="D433" i="23"/>
  <c r="D432" i="23"/>
  <c r="D431" i="23"/>
  <c r="D430" i="23"/>
  <c r="D429" i="23"/>
  <c r="D428" i="23"/>
  <c r="D427" i="23"/>
  <c r="D426" i="23"/>
  <c r="D425" i="23"/>
  <c r="D424" i="23"/>
  <c r="D423" i="23"/>
  <c r="D422" i="23"/>
  <c r="D421" i="23"/>
  <c r="D420" i="23"/>
  <c r="D419" i="23"/>
  <c r="D418" i="23"/>
  <c r="D417" i="23"/>
  <c r="D416" i="23"/>
  <c r="D415" i="23"/>
  <c r="D414" i="23"/>
  <c r="D413" i="23"/>
  <c r="D412" i="23"/>
  <c r="D411" i="23"/>
  <c r="D410" i="23"/>
  <c r="D409" i="23"/>
  <c r="D408" i="23"/>
  <c r="D407" i="23"/>
  <c r="D406" i="23"/>
  <c r="D405" i="23"/>
  <c r="D404" i="23"/>
  <c r="D403" i="23"/>
  <c r="D402" i="23"/>
  <c r="D401" i="23"/>
  <c r="D400" i="23"/>
  <c r="D399" i="23"/>
  <c r="D398" i="23"/>
  <c r="D397" i="23"/>
  <c r="D396" i="23"/>
  <c r="D395" i="23"/>
  <c r="D394" i="23"/>
  <c r="D393" i="23"/>
  <c r="D392" i="23"/>
  <c r="D391" i="23"/>
  <c r="D390" i="23"/>
  <c r="D389" i="23"/>
  <c r="D388" i="23"/>
  <c r="D387" i="23"/>
  <c r="D386" i="23"/>
  <c r="D385" i="23"/>
  <c r="D384" i="23"/>
  <c r="D383" i="23"/>
  <c r="D382" i="23"/>
  <c r="D381" i="23"/>
  <c r="D380" i="23"/>
  <c r="D379" i="23"/>
  <c r="D378" i="23"/>
  <c r="D377" i="23"/>
  <c r="D376" i="23"/>
  <c r="D375" i="23"/>
  <c r="D374" i="23"/>
  <c r="D373" i="23"/>
  <c r="D372" i="23"/>
  <c r="D371" i="23"/>
  <c r="D370" i="23"/>
  <c r="D369" i="23"/>
  <c r="D368" i="23"/>
  <c r="D367" i="23"/>
  <c r="D366" i="23"/>
  <c r="D365" i="23"/>
  <c r="D364" i="23"/>
  <c r="D363" i="23"/>
  <c r="D362" i="23"/>
  <c r="D361" i="23"/>
  <c r="D360" i="23"/>
  <c r="D359" i="23"/>
  <c r="D358" i="23"/>
  <c r="D357" i="23"/>
  <c r="D356" i="23"/>
  <c r="D355" i="23"/>
  <c r="D354" i="23"/>
  <c r="D353" i="23"/>
  <c r="D352" i="23"/>
  <c r="D351" i="23"/>
  <c r="D350" i="23"/>
  <c r="D349" i="23"/>
  <c r="D348" i="23"/>
  <c r="D347" i="23"/>
  <c r="D346" i="23"/>
  <c r="D345" i="23"/>
  <c r="D344" i="23"/>
  <c r="D343" i="23"/>
  <c r="D342" i="23"/>
  <c r="D341" i="23"/>
  <c r="D340" i="23"/>
  <c r="D339" i="23"/>
  <c r="D338" i="23"/>
  <c r="D337" i="23"/>
  <c r="D336" i="23"/>
  <c r="D335" i="23"/>
  <c r="D334" i="23"/>
  <c r="D333" i="23"/>
  <c r="D332" i="23"/>
  <c r="D331" i="23"/>
  <c r="D330" i="23"/>
  <c r="D329" i="23"/>
  <c r="D328" i="23"/>
  <c r="D327" i="23"/>
  <c r="D326" i="23"/>
  <c r="D325" i="23"/>
  <c r="D324" i="23"/>
  <c r="D323" i="23"/>
  <c r="D322" i="23"/>
  <c r="D321" i="23"/>
  <c r="D320" i="23"/>
  <c r="D319" i="23"/>
  <c r="D318" i="23"/>
  <c r="D317" i="23"/>
  <c r="D316" i="23"/>
  <c r="D315" i="23"/>
  <c r="D314" i="23"/>
  <c r="D313" i="23"/>
  <c r="D312" i="23"/>
  <c r="D311" i="23"/>
  <c r="D310" i="23"/>
  <c r="D309" i="23"/>
  <c r="D308" i="23"/>
  <c r="D307" i="23"/>
  <c r="D306" i="23"/>
  <c r="D305" i="23"/>
  <c r="D304" i="23"/>
  <c r="D303" i="23"/>
  <c r="D302" i="23"/>
  <c r="D301" i="23"/>
  <c r="D300" i="23"/>
  <c r="D299" i="23"/>
  <c r="D298" i="23"/>
  <c r="D297" i="23"/>
  <c r="D296" i="23"/>
  <c r="D295" i="23"/>
  <c r="D294" i="23"/>
  <c r="D293" i="23"/>
  <c r="D292" i="23"/>
  <c r="D291" i="23"/>
  <c r="D290" i="23"/>
  <c r="D289" i="23"/>
  <c r="D288" i="23"/>
  <c r="D287" i="23"/>
  <c r="D286" i="23"/>
  <c r="D285" i="23"/>
  <c r="D284" i="23"/>
  <c r="D283" i="23"/>
  <c r="D282" i="23"/>
  <c r="D281" i="23"/>
  <c r="D280" i="23"/>
  <c r="D279" i="23"/>
  <c r="D278" i="23"/>
  <c r="D277" i="23"/>
  <c r="D276" i="23"/>
  <c r="D275" i="23"/>
  <c r="D274" i="23"/>
  <c r="D273" i="23"/>
  <c r="D272" i="23"/>
  <c r="D271" i="23"/>
  <c r="D270" i="23"/>
  <c r="D269" i="23"/>
  <c r="D268" i="23"/>
  <c r="D267" i="23"/>
  <c r="D266" i="23"/>
  <c r="D265" i="23"/>
  <c r="D264" i="23"/>
  <c r="D263" i="23"/>
  <c r="D262" i="23"/>
  <c r="D261" i="23"/>
  <c r="D260" i="23"/>
  <c r="D259" i="23"/>
  <c r="D258" i="23"/>
  <c r="D257" i="23"/>
  <c r="D256" i="23"/>
  <c r="D255" i="23"/>
  <c r="D254" i="23"/>
  <c r="D253" i="23"/>
  <c r="D252" i="23"/>
  <c r="D251" i="23"/>
  <c r="D250" i="23"/>
  <c r="D249" i="23"/>
  <c r="D248" i="23"/>
  <c r="D247" i="23"/>
  <c r="D246" i="23"/>
  <c r="D245" i="23"/>
  <c r="D244" i="23"/>
  <c r="D243" i="23"/>
  <c r="D242" i="23"/>
  <c r="D241" i="23"/>
  <c r="D240" i="23"/>
  <c r="D239" i="23"/>
  <c r="D238" i="23"/>
  <c r="D237" i="23"/>
  <c r="D236" i="23"/>
  <c r="D235" i="23"/>
  <c r="D234" i="23"/>
  <c r="D233" i="23"/>
  <c r="D232" i="23"/>
  <c r="D231" i="23"/>
  <c r="D230" i="23"/>
  <c r="D229" i="23"/>
  <c r="D228" i="23"/>
  <c r="D227" i="23"/>
  <c r="D226" i="23"/>
  <c r="D225" i="23"/>
  <c r="D224" i="23"/>
  <c r="D223" i="23"/>
  <c r="D222" i="23"/>
  <c r="D221" i="23"/>
  <c r="D220" i="23"/>
  <c r="D219" i="23"/>
  <c r="D218" i="23"/>
  <c r="D217" i="23"/>
  <c r="D216" i="23"/>
  <c r="D215" i="23"/>
  <c r="D214" i="23"/>
  <c r="D213" i="23"/>
  <c r="D212" i="23"/>
  <c r="D211" i="23"/>
  <c r="D210" i="23"/>
  <c r="D209" i="23"/>
  <c r="D208" i="23"/>
  <c r="D207" i="23"/>
  <c r="D206" i="23"/>
  <c r="D205" i="23"/>
  <c r="D204" i="23"/>
  <c r="D203" i="23"/>
  <c r="D202" i="23"/>
  <c r="D201" i="23"/>
  <c r="D200" i="23"/>
  <c r="D199" i="23"/>
  <c r="D198" i="23"/>
  <c r="D197" i="23"/>
  <c r="D196" i="23"/>
  <c r="D195" i="23"/>
  <c r="D194" i="23"/>
  <c r="D193" i="23"/>
  <c r="D192" i="23"/>
  <c r="D191" i="23"/>
  <c r="D190" i="23"/>
  <c r="D189" i="23"/>
  <c r="D188" i="23"/>
  <c r="D187" i="23"/>
  <c r="D186" i="23"/>
  <c r="D185" i="23"/>
  <c r="D184" i="23"/>
  <c r="D183" i="23"/>
  <c r="D182" i="23"/>
  <c r="D181" i="23"/>
  <c r="D180" i="23"/>
  <c r="D179" i="23"/>
  <c r="D178" i="23"/>
  <c r="D177" i="23"/>
  <c r="D176" i="23"/>
  <c r="D175" i="23"/>
  <c r="D174" i="23"/>
  <c r="D173" i="23"/>
  <c r="D172" i="23"/>
  <c r="D171" i="23"/>
  <c r="D170" i="23"/>
  <c r="D169" i="23"/>
  <c r="D168" i="23"/>
  <c r="D167" i="23"/>
  <c r="D166" i="23"/>
  <c r="D165" i="23"/>
  <c r="D164" i="23"/>
  <c r="D163" i="23"/>
  <c r="D162" i="23"/>
  <c r="D161" i="23"/>
  <c r="D160" i="23"/>
  <c r="D159" i="23"/>
  <c r="D158" i="23"/>
  <c r="D157" i="23"/>
  <c r="D156" i="23"/>
  <c r="D155" i="23"/>
  <c r="D154" i="23"/>
  <c r="D153" i="23"/>
  <c r="D152" i="23"/>
  <c r="D151" i="23"/>
  <c r="D150" i="23"/>
  <c r="D149" i="23"/>
  <c r="D148" i="23"/>
  <c r="D147" i="23"/>
  <c r="D146" i="23"/>
  <c r="D145" i="23"/>
  <c r="D144" i="23"/>
  <c r="D143" i="23"/>
  <c r="D142" i="23"/>
  <c r="D141" i="23"/>
  <c r="D140" i="23"/>
  <c r="D139" i="23"/>
  <c r="D138" i="23"/>
  <c r="D137" i="23"/>
  <c r="D136" i="23"/>
  <c r="D135" i="23"/>
  <c r="D134" i="23"/>
  <c r="D133" i="23"/>
  <c r="D132" i="23"/>
  <c r="D131" i="23"/>
  <c r="D130" i="23"/>
  <c r="D129" i="23"/>
  <c r="D128" i="23"/>
  <c r="D127" i="23"/>
  <c r="D126" i="23"/>
  <c r="D125" i="23"/>
  <c r="D124" i="23"/>
  <c r="D123" i="23"/>
  <c r="D122" i="23"/>
  <c r="D121" i="23"/>
  <c r="D120" i="23"/>
  <c r="D119" i="23"/>
  <c r="D118" i="23"/>
  <c r="D117" i="23"/>
  <c r="D116" i="23"/>
  <c r="D115" i="23"/>
  <c r="D114" i="23"/>
  <c r="D113" i="23"/>
  <c r="D112" i="23"/>
  <c r="D111" i="23"/>
  <c r="D110" i="23"/>
  <c r="D109" i="23"/>
  <c r="D108" i="23"/>
  <c r="D107" i="23"/>
  <c r="D106" i="23"/>
  <c r="D105" i="23"/>
  <c r="D104" i="23"/>
  <c r="D103" i="23"/>
  <c r="D102" i="23"/>
  <c r="D101" i="23"/>
  <c r="D100" i="23"/>
  <c r="D99" i="23"/>
  <c r="D98" i="23"/>
  <c r="D97" i="23"/>
  <c r="D96" i="23"/>
  <c r="D95" i="23"/>
  <c r="D94" i="23"/>
  <c r="D93" i="23"/>
  <c r="D92" i="23"/>
  <c r="D91" i="23"/>
  <c r="D90" i="23"/>
  <c r="D89" i="23"/>
  <c r="D88" i="23"/>
  <c r="D87" i="23"/>
  <c r="D86" i="23"/>
  <c r="D85" i="23"/>
  <c r="D84" i="23"/>
  <c r="D83" i="23"/>
  <c r="D82" i="23"/>
  <c r="D81" i="23"/>
  <c r="D80" i="23"/>
  <c r="D79" i="23"/>
  <c r="D78" i="23"/>
  <c r="D77" i="23"/>
  <c r="D76" i="23"/>
  <c r="D75" i="23"/>
  <c r="D74" i="23"/>
  <c r="D73" i="23"/>
  <c r="D72" i="23"/>
  <c r="D71" i="23"/>
  <c r="D70" i="23"/>
  <c r="D69" i="23"/>
  <c r="D68" i="23"/>
  <c r="D67" i="23"/>
  <c r="D66" i="23"/>
  <c r="D65" i="23"/>
  <c r="D64" i="23"/>
  <c r="D63" i="23"/>
  <c r="D62" i="23"/>
  <c r="D61" i="23"/>
  <c r="D60" i="23"/>
  <c r="D59" i="23"/>
  <c r="D58" i="23"/>
  <c r="D57" i="23"/>
  <c r="D56" i="23"/>
  <c r="D55" i="23"/>
  <c r="D54" i="23"/>
  <c r="D53" i="23"/>
  <c r="D52" i="23"/>
  <c r="D51" i="23"/>
  <c r="D50" i="23"/>
  <c r="D49" i="23"/>
  <c r="D48" i="23"/>
  <c r="D47" i="23"/>
  <c r="D46" i="23"/>
  <c r="D45" i="23"/>
  <c r="D44" i="23"/>
  <c r="D43" i="23"/>
  <c r="D42" i="23"/>
  <c r="D41" i="23"/>
  <c r="D40" i="23"/>
  <c r="D39" i="23"/>
  <c r="D38" i="23"/>
  <c r="D37" i="23"/>
  <c r="D36" i="23"/>
  <c r="D35" i="23"/>
  <c r="D34" i="23"/>
  <c r="D33" i="23"/>
  <c r="D32" i="23"/>
  <c r="D31" i="23"/>
  <c r="D30" i="23"/>
  <c r="D29" i="23"/>
  <c r="D28" i="23"/>
  <c r="D27" i="23"/>
  <c r="D26" i="23"/>
  <c r="D25" i="23"/>
  <c r="D24" i="23"/>
  <c r="D23" i="23"/>
  <c r="D22" i="23"/>
  <c r="K21" i="23"/>
  <c r="L21" i="23" s="1"/>
  <c r="M21" i="23" s="1"/>
  <c r="J21" i="23"/>
  <c r="D21" i="23"/>
  <c r="K20" i="23"/>
  <c r="L20" i="23" s="1"/>
  <c r="M20" i="23" s="1"/>
  <c r="J20" i="23"/>
  <c r="D20" i="23"/>
  <c r="K19" i="23"/>
  <c r="L19" i="23" s="1"/>
  <c r="M19" i="23" s="1"/>
  <c r="J19" i="23"/>
  <c r="D19" i="23"/>
  <c r="J18" i="23"/>
  <c r="D18" i="23"/>
  <c r="D17" i="23"/>
  <c r="D16" i="23"/>
  <c r="D15" i="23"/>
  <c r="D14" i="23"/>
  <c r="D13" i="23"/>
  <c r="L12" i="23"/>
  <c r="D12" i="23"/>
  <c r="L11" i="23"/>
  <c r="D11" i="23"/>
  <c r="D10" i="23"/>
  <c r="D9" i="23"/>
  <c r="G18" i="11"/>
  <c r="H15" i="18"/>
  <c r="Q21" i="8" l="1"/>
  <c r="Q34" i="8"/>
  <c r="Q30" i="8"/>
  <c r="Q46" i="8"/>
  <c r="Q47" i="8"/>
  <c r="J7" i="8"/>
  <c r="G167" i="23"/>
  <c r="G440" i="23"/>
  <c r="G383" i="23"/>
  <c r="G320" i="23"/>
  <c r="G256" i="23"/>
  <c r="G192" i="23"/>
  <c r="G96" i="23"/>
  <c r="G424" i="23"/>
  <c r="G303" i="23"/>
  <c r="G175" i="23"/>
  <c r="G467" i="23"/>
  <c r="G423" i="23"/>
  <c r="G360" i="23"/>
  <c r="G296" i="23"/>
  <c r="G232" i="23"/>
  <c r="G168" i="23"/>
  <c r="G49" i="23"/>
  <c r="G464" i="23"/>
  <c r="G416" i="23"/>
  <c r="G295" i="23"/>
  <c r="G231" i="23"/>
  <c r="G29" i="23"/>
  <c r="G471" i="23"/>
  <c r="G363" i="23"/>
  <c r="G239" i="23"/>
  <c r="G93" i="23"/>
  <c r="G359" i="23"/>
  <c r="G12" i="23"/>
  <c r="G463" i="23"/>
  <c r="G415" i="23"/>
  <c r="G352" i="23"/>
  <c r="G288" i="23"/>
  <c r="G224" i="23"/>
  <c r="G143" i="23"/>
  <c r="G28" i="23"/>
  <c r="G448" i="23"/>
  <c r="G392" i="23"/>
  <c r="G335" i="23"/>
  <c r="G271" i="23"/>
  <c r="G136" i="23"/>
  <c r="G447" i="23"/>
  <c r="G391" i="23"/>
  <c r="G328" i="23"/>
  <c r="G264" i="23"/>
  <c r="G200" i="23"/>
  <c r="G134" i="23"/>
  <c r="G207" i="23"/>
  <c r="G443" i="23"/>
  <c r="G384" i="23"/>
  <c r="G327" i="23"/>
  <c r="G263" i="23"/>
  <c r="G199" i="23"/>
  <c r="G106" i="23"/>
  <c r="G160" i="23"/>
  <c r="G126" i="23"/>
  <c r="G82" i="23"/>
  <c r="G9" i="23"/>
  <c r="G459" i="23"/>
  <c r="G125" i="23"/>
  <c r="G475" i="23"/>
  <c r="G455" i="23"/>
  <c r="G432" i="23"/>
  <c r="G400" i="23"/>
  <c r="G368" i="23"/>
  <c r="G343" i="23"/>
  <c r="G311" i="23"/>
  <c r="G279" i="23"/>
  <c r="G247" i="23"/>
  <c r="G215" i="23"/>
  <c r="G183" i="23"/>
  <c r="G151" i="23"/>
  <c r="G116" i="23"/>
  <c r="G68" i="23"/>
  <c r="G480" i="23"/>
  <c r="G439" i="23"/>
  <c r="G408" i="23"/>
  <c r="G376" i="23"/>
  <c r="G351" i="23"/>
  <c r="G319" i="23"/>
  <c r="G287" i="23"/>
  <c r="G255" i="23"/>
  <c r="G223" i="23"/>
  <c r="G191" i="23"/>
  <c r="G159" i="23"/>
  <c r="G81" i="23"/>
  <c r="G14" i="23"/>
  <c r="G479" i="23"/>
  <c r="G456" i="23"/>
  <c r="G435" i="23"/>
  <c r="G407" i="23"/>
  <c r="G375" i="23"/>
  <c r="G344" i="23"/>
  <c r="G312" i="23"/>
  <c r="G280" i="23"/>
  <c r="G248" i="23"/>
  <c r="G216" i="23"/>
  <c r="G184" i="23"/>
  <c r="G152" i="23"/>
  <c r="G117" i="23"/>
  <c r="G69" i="23"/>
  <c r="G472" i="23"/>
  <c r="G451" i="23"/>
  <c r="G431" i="23"/>
  <c r="G399" i="23"/>
  <c r="G367" i="23"/>
  <c r="G336" i="23"/>
  <c r="G304" i="23"/>
  <c r="G272" i="23"/>
  <c r="G240" i="23"/>
  <c r="G208" i="23"/>
  <c r="G176" i="23"/>
  <c r="G144" i="23"/>
  <c r="G108" i="23"/>
  <c r="G52" i="23"/>
  <c r="Q28" i="8"/>
  <c r="G478" i="23"/>
  <c r="G470" i="23"/>
  <c r="G462" i="23"/>
  <c r="G454" i="23"/>
  <c r="G446" i="23"/>
  <c r="G438" i="23"/>
  <c r="G430" i="23"/>
  <c r="G422" i="23"/>
  <c r="G414" i="23"/>
  <c r="G406" i="23"/>
  <c r="G398" i="23"/>
  <c r="G390" i="23"/>
  <c r="G382" i="23"/>
  <c r="G374" i="23"/>
  <c r="G366" i="23"/>
  <c r="G358" i="23"/>
  <c r="G350" i="23"/>
  <c r="G342" i="23"/>
  <c r="G334" i="23"/>
  <c r="G326" i="23"/>
  <c r="G318" i="23"/>
  <c r="G310" i="23"/>
  <c r="G302" i="23"/>
  <c r="G294" i="23"/>
  <c r="G286" i="23"/>
  <c r="G278" i="23"/>
  <c r="G270" i="23"/>
  <c r="G262" i="23"/>
  <c r="G254" i="23"/>
  <c r="G246" i="23"/>
  <c r="G238" i="23"/>
  <c r="G230" i="23"/>
  <c r="G222" i="23"/>
  <c r="G214" i="23"/>
  <c r="G206" i="23"/>
  <c r="G198" i="23"/>
  <c r="G190" i="23"/>
  <c r="G182" i="23"/>
  <c r="G174" i="23"/>
  <c r="G166" i="23"/>
  <c r="G158" i="23"/>
  <c r="G150" i="23"/>
  <c r="G142" i="23"/>
  <c r="G133" i="23"/>
  <c r="G124" i="23"/>
  <c r="G115" i="23"/>
  <c r="G105" i="23"/>
  <c r="G92" i="23"/>
  <c r="G80" i="23"/>
  <c r="G66" i="23"/>
  <c r="G45" i="23"/>
  <c r="G25" i="23"/>
  <c r="G477" i="23"/>
  <c r="G469" i="23"/>
  <c r="G461" i="23"/>
  <c r="G453" i="23"/>
  <c r="G445" i="23"/>
  <c r="G437" i="23"/>
  <c r="G429" i="23"/>
  <c r="G421" i="23"/>
  <c r="G413" i="23"/>
  <c r="G405" i="23"/>
  <c r="G397" i="23"/>
  <c r="G389" i="23"/>
  <c r="G381" i="23"/>
  <c r="G373" i="23"/>
  <c r="G365" i="23"/>
  <c r="G357" i="23"/>
  <c r="G349" i="23"/>
  <c r="G341" i="23"/>
  <c r="G333" i="23"/>
  <c r="G325" i="23"/>
  <c r="G317" i="23"/>
  <c r="G309" i="23"/>
  <c r="G301" i="23"/>
  <c r="G293" i="23"/>
  <c r="G285" i="23"/>
  <c r="G277" i="23"/>
  <c r="G269" i="23"/>
  <c r="G261" i="23"/>
  <c r="G253" i="23"/>
  <c r="G245" i="23"/>
  <c r="G237" i="23"/>
  <c r="G229" i="23"/>
  <c r="G221" i="23"/>
  <c r="G213" i="23"/>
  <c r="G205" i="23"/>
  <c r="G197" i="23"/>
  <c r="G189" i="23"/>
  <c r="G181" i="23"/>
  <c r="G173" i="23"/>
  <c r="G165" i="23"/>
  <c r="G157" i="23"/>
  <c r="G149" i="23"/>
  <c r="G141" i="23"/>
  <c r="G132" i="23"/>
  <c r="G123" i="23"/>
  <c r="G114" i="23"/>
  <c r="G104" i="23"/>
  <c r="G90" i="23"/>
  <c r="G77" i="23"/>
  <c r="G65" i="23"/>
  <c r="G44" i="23"/>
  <c r="G21" i="23"/>
  <c r="G476" i="23"/>
  <c r="G468" i="23"/>
  <c r="G460" i="23"/>
  <c r="G452" i="23"/>
  <c r="G444" i="23"/>
  <c r="G436" i="23"/>
  <c r="G428" i="23"/>
  <c r="G420" i="23"/>
  <c r="G412" i="23"/>
  <c r="G404" i="23"/>
  <c r="G396" i="23"/>
  <c r="G388" i="23"/>
  <c r="G380" i="23"/>
  <c r="G372" i="23"/>
  <c r="G364" i="23"/>
  <c r="G356" i="23"/>
  <c r="G348" i="23"/>
  <c r="G340" i="23"/>
  <c r="G332" i="23"/>
  <c r="G324" i="23"/>
  <c r="G316" i="23"/>
  <c r="G308" i="23"/>
  <c r="G300" i="23"/>
  <c r="G292" i="23"/>
  <c r="G284" i="23"/>
  <c r="G276" i="23"/>
  <c r="G268" i="23"/>
  <c r="G260" i="23"/>
  <c r="G252" i="23"/>
  <c r="G244" i="23"/>
  <c r="G236" i="23"/>
  <c r="G228" i="23"/>
  <c r="G220" i="23"/>
  <c r="G212" i="23"/>
  <c r="G204" i="23"/>
  <c r="G196" i="23"/>
  <c r="G188" i="23"/>
  <c r="G180" i="23"/>
  <c r="G172" i="23"/>
  <c r="G164" i="23"/>
  <c r="G156" i="23"/>
  <c r="G148" i="23"/>
  <c r="G140" i="23"/>
  <c r="G131" i="23"/>
  <c r="G122" i="23"/>
  <c r="G113" i="23"/>
  <c r="G101" i="23"/>
  <c r="G89" i="23"/>
  <c r="G76" i="23"/>
  <c r="G61" i="23"/>
  <c r="G41" i="23"/>
  <c r="G20" i="23"/>
  <c r="G427" i="23"/>
  <c r="G419" i="23"/>
  <c r="G411" i="23"/>
  <c r="G403" i="23"/>
  <c r="G395" i="23"/>
  <c r="G387" i="23"/>
  <c r="G379" i="23"/>
  <c r="G371" i="23"/>
  <c r="G355" i="23"/>
  <c r="G347" i="23"/>
  <c r="G339" i="23"/>
  <c r="G331" i="23"/>
  <c r="G323" i="23"/>
  <c r="G315" i="23"/>
  <c r="G307" i="23"/>
  <c r="G299" i="23"/>
  <c r="G291" i="23"/>
  <c r="G283" i="23"/>
  <c r="G275" i="23"/>
  <c r="G267" i="23"/>
  <c r="G259" i="23"/>
  <c r="G251" i="23"/>
  <c r="G243" i="23"/>
  <c r="G235" i="23"/>
  <c r="G227" i="23"/>
  <c r="G219" i="23"/>
  <c r="G211" i="23"/>
  <c r="G203" i="23"/>
  <c r="G195" i="23"/>
  <c r="G187" i="23"/>
  <c r="G179" i="23"/>
  <c r="G171" i="23"/>
  <c r="G163" i="23"/>
  <c r="G155" i="23"/>
  <c r="G147" i="23"/>
  <c r="G139" i="23"/>
  <c r="G130" i="23"/>
  <c r="G121" i="23"/>
  <c r="G112" i="23"/>
  <c r="G100" i="23"/>
  <c r="G88" i="23"/>
  <c r="G74" i="23"/>
  <c r="G60" i="23"/>
  <c r="G37" i="23"/>
  <c r="G17" i="23"/>
  <c r="G482" i="23"/>
  <c r="G474" i="23"/>
  <c r="G466" i="23"/>
  <c r="G458" i="23"/>
  <c r="G450" i="23"/>
  <c r="G442" i="23"/>
  <c r="G434" i="23"/>
  <c r="G426" i="23"/>
  <c r="G418" i="23"/>
  <c r="G410" i="23"/>
  <c r="G402" i="23"/>
  <c r="G394" i="23"/>
  <c r="G386" i="23"/>
  <c r="G378" i="23"/>
  <c r="G370" i="23"/>
  <c r="G362" i="23"/>
  <c r="G354" i="23"/>
  <c r="G346" i="23"/>
  <c r="G338" i="23"/>
  <c r="G330" i="23"/>
  <c r="G322" i="23"/>
  <c r="G314" i="23"/>
  <c r="G306" i="23"/>
  <c r="G298" i="23"/>
  <c r="G290" i="23"/>
  <c r="G282" i="23"/>
  <c r="G274" i="23"/>
  <c r="G266" i="23"/>
  <c r="G258" i="23"/>
  <c r="G250" i="23"/>
  <c r="G242" i="23"/>
  <c r="G234" i="23"/>
  <c r="G226" i="23"/>
  <c r="G218" i="23"/>
  <c r="G210" i="23"/>
  <c r="G202" i="23"/>
  <c r="G194" i="23"/>
  <c r="G186" i="23"/>
  <c r="G178" i="23"/>
  <c r="G170" i="23"/>
  <c r="G162" i="23"/>
  <c r="G154" i="23"/>
  <c r="G146" i="23"/>
  <c r="G138" i="23"/>
  <c r="G129" i="23"/>
  <c r="G120" i="23"/>
  <c r="G110" i="23"/>
  <c r="G98" i="23"/>
  <c r="G85" i="23"/>
  <c r="G73" i="23"/>
  <c r="G57" i="23"/>
  <c r="G36" i="23"/>
  <c r="G13" i="23"/>
  <c r="G481" i="23"/>
  <c r="G473" i="23"/>
  <c r="G465" i="23"/>
  <c r="G457" i="23"/>
  <c r="G449" i="23"/>
  <c r="G441" i="23"/>
  <c r="G433" i="23"/>
  <c r="G425" i="23"/>
  <c r="G417" i="23"/>
  <c r="G409" i="23"/>
  <c r="G401" i="23"/>
  <c r="G393" i="23"/>
  <c r="G385" i="23"/>
  <c r="G377" i="23"/>
  <c r="G369" i="23"/>
  <c r="G361" i="23"/>
  <c r="G353" i="23"/>
  <c r="G345" i="23"/>
  <c r="G337" i="23"/>
  <c r="G329" i="23"/>
  <c r="G321" i="23"/>
  <c r="G313" i="23"/>
  <c r="G305" i="23"/>
  <c r="G297" i="23"/>
  <c r="G289" i="23"/>
  <c r="G281" i="23"/>
  <c r="G273" i="23"/>
  <c r="G265" i="23"/>
  <c r="G257" i="23"/>
  <c r="G249" i="23"/>
  <c r="G241" i="23"/>
  <c r="G233" i="23"/>
  <c r="G225" i="23"/>
  <c r="G217" i="23"/>
  <c r="G209" i="23"/>
  <c r="G201" i="23"/>
  <c r="G193" i="23"/>
  <c r="G185" i="23"/>
  <c r="G177" i="23"/>
  <c r="G169" i="23"/>
  <c r="G161" i="23"/>
  <c r="G153" i="23"/>
  <c r="G145" i="23"/>
  <c r="G137" i="23"/>
  <c r="G128" i="23"/>
  <c r="G118" i="23"/>
  <c r="G109" i="23"/>
  <c r="G97" i="23"/>
  <c r="G84" i="23"/>
  <c r="G72" i="23"/>
  <c r="G53" i="23"/>
  <c r="G33" i="23"/>
  <c r="G107" i="23"/>
  <c r="G99" i="23"/>
  <c r="G91" i="23"/>
  <c r="G83" i="23"/>
  <c r="G75" i="23"/>
  <c r="G67" i="23"/>
  <c r="G59" i="23"/>
  <c r="G51" i="23"/>
  <c r="G43" i="23"/>
  <c r="G35" i="23"/>
  <c r="G27" i="23"/>
  <c r="G19" i="23"/>
  <c r="G11" i="23"/>
  <c r="G58" i="23"/>
  <c r="G50" i="23"/>
  <c r="G42" i="23"/>
  <c r="G34" i="23"/>
  <c r="G26" i="23"/>
  <c r="G18" i="23"/>
  <c r="G64" i="23"/>
  <c r="G56" i="23"/>
  <c r="G48" i="23"/>
  <c r="G40" i="23"/>
  <c r="G32" i="23"/>
  <c r="G24" i="23"/>
  <c r="G16" i="23"/>
  <c r="G135" i="23"/>
  <c r="G127" i="23"/>
  <c r="G119" i="23"/>
  <c r="G111" i="23"/>
  <c r="G103" i="23"/>
  <c r="G95" i="23"/>
  <c r="G87" i="23"/>
  <c r="G79" i="23"/>
  <c r="G71" i="23"/>
  <c r="G63" i="23"/>
  <c r="G55" i="23"/>
  <c r="G47" i="23"/>
  <c r="G39" i="23"/>
  <c r="G31" i="23"/>
  <c r="G23" i="23"/>
  <c r="G15" i="23"/>
  <c r="G102" i="23"/>
  <c r="G94" i="23"/>
  <c r="G86" i="23"/>
  <c r="G78" i="23"/>
  <c r="G70" i="23"/>
  <c r="G62" i="23"/>
  <c r="G54" i="23"/>
  <c r="G46" i="23"/>
  <c r="G38" i="23"/>
  <c r="G30" i="23"/>
  <c r="G22" i="23"/>
  <c r="C25" i="11"/>
  <c r="E27" i="18"/>
  <c r="M10" i="20"/>
  <c r="L11" i="20"/>
  <c r="L10" i="20"/>
  <c r="K10" i="20"/>
  <c r="I10" i="20"/>
  <c r="H10" i="20"/>
  <c r="O29" i="20" s="1"/>
  <c r="F10" i="20"/>
  <c r="E10" i="20"/>
  <c r="M17" i="20"/>
  <c r="M16" i="20"/>
  <c r="M15" i="20"/>
  <c r="M14" i="20"/>
  <c r="M13" i="20"/>
  <c r="M12" i="20"/>
  <c r="M11" i="20"/>
  <c r="L17" i="20"/>
  <c r="L16" i="20"/>
  <c r="L15" i="20"/>
  <c r="L14" i="20"/>
  <c r="L13" i="20"/>
  <c r="L12" i="20"/>
  <c r="K17" i="20"/>
  <c r="K16" i="20"/>
  <c r="K15" i="20"/>
  <c r="K14" i="20"/>
  <c r="K13" i="20"/>
  <c r="K12" i="20"/>
  <c r="K11" i="20"/>
  <c r="I17" i="20"/>
  <c r="I16" i="20"/>
  <c r="I15" i="20"/>
  <c r="I14" i="20"/>
  <c r="I13" i="20"/>
  <c r="I12" i="20"/>
  <c r="I11" i="20"/>
  <c r="H17" i="20"/>
  <c r="H16" i="20"/>
  <c r="H15" i="20"/>
  <c r="H14" i="20"/>
  <c r="H13" i="20"/>
  <c r="H12" i="20"/>
  <c r="H11" i="20"/>
  <c r="F17" i="20"/>
  <c r="F16" i="20"/>
  <c r="F15" i="20"/>
  <c r="F14" i="20"/>
  <c r="F13" i="20"/>
  <c r="F12" i="20"/>
  <c r="F11" i="20"/>
  <c r="E17" i="20"/>
  <c r="E16" i="20"/>
  <c r="E15" i="20"/>
  <c r="E14" i="20"/>
  <c r="E13" i="20"/>
  <c r="E12" i="20"/>
  <c r="E11" i="20"/>
  <c r="B6" i="20"/>
  <c r="M8" i="4"/>
  <c r="M55" i="4"/>
  <c r="L44" i="4"/>
  <c r="K32" i="23" l="1"/>
  <c r="L32" i="23" s="1"/>
  <c r="M32" i="23" s="1"/>
  <c r="L25" i="23"/>
  <c r="G20" i="28"/>
  <c r="G10" i="28" s="1"/>
  <c r="K7" i="8"/>
  <c r="O10" i="20"/>
  <c r="P29" i="20"/>
  <c r="P14" i="20"/>
  <c r="P17" i="20"/>
  <c r="Q29" i="20"/>
  <c r="P16" i="20"/>
  <c r="P13" i="20"/>
  <c r="G10" i="20"/>
  <c r="Q10" i="20" s="1"/>
  <c r="P10" i="20"/>
  <c r="O14" i="20"/>
  <c r="G14" i="20"/>
  <c r="Q14" i="20" s="1"/>
  <c r="P15" i="20"/>
  <c r="L26" i="23"/>
  <c r="K35" i="23"/>
  <c r="L35" i="23" s="1"/>
  <c r="M35" i="23" s="1"/>
  <c r="K33" i="23"/>
  <c r="L33" i="23" s="1"/>
  <c r="M33" i="23" s="1"/>
  <c r="K34" i="23"/>
  <c r="L34" i="23" s="1"/>
  <c r="M34" i="23" s="1"/>
  <c r="L28" i="23"/>
  <c r="L27" i="23"/>
  <c r="P31" i="20"/>
  <c r="G15" i="20"/>
  <c r="Q15" i="20" s="1"/>
  <c r="Q31" i="20"/>
  <c r="O13" i="20"/>
  <c r="O31" i="20"/>
  <c r="G16" i="20"/>
  <c r="Q16" i="20" s="1"/>
  <c r="P12" i="20"/>
  <c r="O16" i="20"/>
  <c r="P11" i="20"/>
  <c r="O17" i="20"/>
  <c r="O12" i="20"/>
  <c r="O15" i="20"/>
  <c r="O11" i="20"/>
  <c r="G17" i="20"/>
  <c r="Q17" i="20" s="1"/>
  <c r="G11" i="20"/>
  <c r="Q11" i="20" s="1"/>
  <c r="G12" i="20"/>
  <c r="Q12" i="20" s="1"/>
  <c r="G13" i="20"/>
  <c r="Q13" i="20" s="1"/>
  <c r="I15" i="18"/>
  <c r="J15" i="18" s="1"/>
  <c r="K15" i="18" s="1"/>
  <c r="L7" i="8" l="1"/>
  <c r="I20" i="28" s="1"/>
  <c r="I10" i="28" s="1"/>
  <c r="H20" i="28"/>
  <c r="H10" i="28" s="1"/>
  <c r="P19" i="20"/>
  <c r="O24" i="20"/>
  <c r="Q22" i="20"/>
  <c r="Q30" i="20" s="1"/>
  <c r="Q28" i="20" s="1"/>
  <c r="Q20" i="20"/>
  <c r="Q32" i="20"/>
  <c r="Q34" i="20" s="1"/>
  <c r="P21" i="20"/>
  <c r="Q23" i="20"/>
  <c r="Q24" i="20"/>
  <c r="P20" i="20"/>
  <c r="Q19" i="20"/>
  <c r="P22" i="20"/>
  <c r="P28" i="20" s="1"/>
  <c r="P30" i="20" s="1"/>
  <c r="P32" i="20" s="1"/>
  <c r="P34" i="20" s="1"/>
  <c r="O23" i="20"/>
  <c r="O22" i="20"/>
  <c r="O28" i="20" s="1"/>
  <c r="O30" i="20" s="1"/>
  <c r="O32" i="20" s="1"/>
  <c r="O34" i="20" s="1"/>
  <c r="O21" i="20"/>
  <c r="O20" i="20"/>
  <c r="P24" i="20"/>
  <c r="Q21" i="20"/>
  <c r="P23" i="20"/>
  <c r="O19" i="20"/>
  <c r="H128" i="4"/>
  <c r="B32" i="17"/>
  <c r="B26" i="17"/>
  <c r="B27" i="17"/>
  <c r="B28" i="17"/>
  <c r="B29" i="17"/>
  <c r="B30" i="17"/>
  <c r="B25" i="17"/>
  <c r="B21" i="17"/>
  <c r="B16" i="17"/>
  <c r="B17" i="17"/>
  <c r="B18" i="17"/>
  <c r="B19" i="17"/>
  <c r="B20" i="17"/>
  <c r="B15" i="17"/>
  <c r="B8" i="17"/>
  <c r="B9" i="17"/>
  <c r="B10" i="17"/>
  <c r="B11" i="17"/>
  <c r="B12" i="17"/>
  <c r="B13" i="17"/>
  <c r="F6" i="17"/>
  <c r="F40" i="17" s="1"/>
  <c r="F54" i="17" s="1"/>
  <c r="B51" i="16"/>
  <c r="B52" i="16"/>
  <c r="B53" i="16"/>
  <c r="B54" i="16"/>
  <c r="B55" i="16"/>
  <c r="B56" i="16"/>
  <c r="B57" i="16"/>
  <c r="B28" i="16"/>
  <c r="B29" i="16"/>
  <c r="B30" i="16"/>
  <c r="B31" i="16"/>
  <c r="B32" i="16"/>
  <c r="B33" i="16"/>
  <c r="B35" i="16"/>
  <c r="B36" i="16"/>
  <c r="B37" i="16"/>
  <c r="B38" i="16"/>
  <c r="B39" i="16"/>
  <c r="B40" i="16"/>
  <c r="B41" i="16"/>
  <c r="B43" i="16"/>
  <c r="B44" i="16"/>
  <c r="B45" i="16"/>
  <c r="B46" i="16"/>
  <c r="B47" i="16"/>
  <c r="B48" i="16"/>
  <c r="B49" i="16"/>
  <c r="B27" i="16"/>
  <c r="B24" i="16"/>
  <c r="B18" i="16"/>
  <c r="B19" i="16"/>
  <c r="B20" i="16"/>
  <c r="B21" i="16"/>
  <c r="B22" i="16"/>
  <c r="B10" i="16"/>
  <c r="B11" i="16"/>
  <c r="B12" i="16"/>
  <c r="B13" i="16"/>
  <c r="B14" i="16"/>
  <c r="B15" i="16"/>
  <c r="B16" i="16"/>
  <c r="B17" i="16"/>
  <c r="B9" i="16"/>
  <c r="C8" i="16"/>
  <c r="C26" i="16" s="1"/>
  <c r="H8" i="16"/>
  <c r="H26" i="16" s="1"/>
  <c r="B6" i="16"/>
  <c r="B6" i="14"/>
  <c r="B6" i="11"/>
  <c r="H27" i="11"/>
  <c r="H26" i="11"/>
  <c r="G14" i="11"/>
  <c r="H14" i="11"/>
  <c r="AA12" i="14"/>
  <c r="AA13" i="14"/>
  <c r="AA14" i="14"/>
  <c r="AA15" i="14"/>
  <c r="AA16" i="14"/>
  <c r="AA17" i="14"/>
  <c r="AA18" i="14"/>
  <c r="AA19" i="14"/>
  <c r="AA20" i="14"/>
  <c r="AA21" i="14"/>
  <c r="AA22" i="14"/>
  <c r="AA23" i="14"/>
  <c r="AA24" i="14"/>
  <c r="AA25" i="14"/>
  <c r="AA26" i="14"/>
  <c r="AA27" i="14"/>
  <c r="AA28" i="14"/>
  <c r="AA29" i="14"/>
  <c r="AA30" i="14"/>
  <c r="AA31" i="14"/>
  <c r="AA32" i="14"/>
  <c r="AA33" i="14"/>
  <c r="AA34" i="14"/>
  <c r="AA35" i="14"/>
  <c r="AA36" i="14"/>
  <c r="AA37" i="14"/>
  <c r="AA38" i="14"/>
  <c r="AA39" i="14"/>
  <c r="AA40" i="14"/>
  <c r="AA41" i="14"/>
  <c r="AA42" i="14"/>
  <c r="AA43" i="14"/>
  <c r="AA44" i="14"/>
  <c r="AA45" i="14"/>
  <c r="AA46" i="14"/>
  <c r="AA47" i="14"/>
  <c r="AA48" i="14"/>
  <c r="AA49" i="14"/>
  <c r="AA50" i="14"/>
  <c r="AA51" i="14"/>
  <c r="AA52" i="14"/>
  <c r="AA53" i="14"/>
  <c r="AA54" i="14"/>
  <c r="AA55" i="14"/>
  <c r="AA56" i="14"/>
  <c r="AA57" i="14"/>
  <c r="AA58" i="14"/>
  <c r="AA59" i="14"/>
  <c r="AA60" i="14"/>
  <c r="AA61" i="14"/>
  <c r="AA62" i="14"/>
  <c r="AA63" i="14"/>
  <c r="AA64" i="14"/>
  <c r="AA65" i="14"/>
  <c r="AA66" i="14"/>
  <c r="AA67" i="14"/>
  <c r="AA68" i="14"/>
  <c r="AA69" i="14"/>
  <c r="AA11" i="14"/>
  <c r="W12" i="14"/>
  <c r="W13" i="14"/>
  <c r="W14" i="14"/>
  <c r="W15" i="14"/>
  <c r="W16" i="14"/>
  <c r="W17" i="14"/>
  <c r="W18" i="14"/>
  <c r="W19" i="14"/>
  <c r="W20" i="14"/>
  <c r="W21" i="14"/>
  <c r="W22" i="14"/>
  <c r="W23" i="14"/>
  <c r="W24" i="14"/>
  <c r="W25" i="14"/>
  <c r="W26" i="14"/>
  <c r="W27" i="14"/>
  <c r="W28" i="14"/>
  <c r="W29" i="14"/>
  <c r="W30" i="14"/>
  <c r="W31" i="14"/>
  <c r="W32" i="14"/>
  <c r="W33" i="14"/>
  <c r="W34" i="14"/>
  <c r="W35" i="14"/>
  <c r="W36" i="14"/>
  <c r="W37" i="14"/>
  <c r="W38" i="14"/>
  <c r="W39" i="14"/>
  <c r="W40" i="14"/>
  <c r="W41" i="14"/>
  <c r="W42" i="14"/>
  <c r="W43" i="14"/>
  <c r="W44" i="14"/>
  <c r="W45" i="14"/>
  <c r="W46" i="14"/>
  <c r="W47" i="14"/>
  <c r="W48" i="14"/>
  <c r="W49" i="14"/>
  <c r="W50" i="14"/>
  <c r="W51" i="14"/>
  <c r="W52" i="14"/>
  <c r="W53" i="14"/>
  <c r="W54" i="14"/>
  <c r="W55" i="14"/>
  <c r="W56" i="14"/>
  <c r="W57" i="14"/>
  <c r="W58" i="14"/>
  <c r="W59" i="14"/>
  <c r="W60" i="14"/>
  <c r="W61" i="14"/>
  <c r="W62" i="14"/>
  <c r="W63" i="14"/>
  <c r="W64" i="14"/>
  <c r="W65" i="14"/>
  <c r="W66" i="14"/>
  <c r="W67" i="14"/>
  <c r="W68" i="14"/>
  <c r="W69" i="14"/>
  <c r="W11" i="14"/>
  <c r="S12" i="14"/>
  <c r="S13" i="14"/>
  <c r="S14" i="14"/>
  <c r="S15" i="14"/>
  <c r="S16" i="14"/>
  <c r="S17" i="14"/>
  <c r="S18" i="14"/>
  <c r="S19" i="14"/>
  <c r="S20" i="14"/>
  <c r="S21" i="14"/>
  <c r="S22" i="14"/>
  <c r="S23" i="14"/>
  <c r="S24" i="14"/>
  <c r="S25" i="14"/>
  <c r="S26" i="14"/>
  <c r="S27" i="14"/>
  <c r="S28" i="14"/>
  <c r="S29" i="14"/>
  <c r="S30" i="14"/>
  <c r="S31" i="14"/>
  <c r="S32" i="14"/>
  <c r="S33" i="14"/>
  <c r="S34" i="14"/>
  <c r="S35" i="14"/>
  <c r="S36" i="14"/>
  <c r="S37" i="14"/>
  <c r="S38" i="14"/>
  <c r="S39" i="14"/>
  <c r="S40" i="14"/>
  <c r="S41" i="14"/>
  <c r="S42" i="14"/>
  <c r="S43" i="14"/>
  <c r="S44" i="14"/>
  <c r="S45" i="14"/>
  <c r="S46" i="14"/>
  <c r="S47" i="14"/>
  <c r="S48" i="14"/>
  <c r="S49" i="14"/>
  <c r="S50" i="14"/>
  <c r="S51" i="14"/>
  <c r="S52" i="14"/>
  <c r="S53" i="14"/>
  <c r="S54" i="14"/>
  <c r="S55" i="14"/>
  <c r="S56" i="14"/>
  <c r="S57" i="14"/>
  <c r="S58" i="14"/>
  <c r="S59" i="14"/>
  <c r="S60" i="14"/>
  <c r="S61" i="14"/>
  <c r="S62" i="14"/>
  <c r="S63" i="14"/>
  <c r="S64" i="14"/>
  <c r="S65" i="14"/>
  <c r="S66" i="14"/>
  <c r="S67" i="14"/>
  <c r="S68" i="14"/>
  <c r="S69" i="14"/>
  <c r="S11" i="14"/>
  <c r="O12" i="14"/>
  <c r="O13" i="14"/>
  <c r="O14" i="14"/>
  <c r="O15" i="14"/>
  <c r="O16" i="14"/>
  <c r="O17" i="14"/>
  <c r="O18" i="14"/>
  <c r="O19" i="14"/>
  <c r="O20" i="14"/>
  <c r="O21" i="14"/>
  <c r="O22" i="14"/>
  <c r="O23" i="14"/>
  <c r="O24" i="14"/>
  <c r="O25" i="14"/>
  <c r="O26" i="14"/>
  <c r="O27" i="14"/>
  <c r="O28" i="14"/>
  <c r="O29" i="14"/>
  <c r="O30" i="14"/>
  <c r="O31" i="14"/>
  <c r="O32" i="14"/>
  <c r="O33" i="14"/>
  <c r="O34" i="14"/>
  <c r="O35" i="14"/>
  <c r="O36" i="14"/>
  <c r="O37" i="14"/>
  <c r="O38" i="14"/>
  <c r="O39" i="14"/>
  <c r="O40" i="14"/>
  <c r="O41" i="14"/>
  <c r="O42" i="14"/>
  <c r="O43" i="14"/>
  <c r="O44" i="14"/>
  <c r="O45" i="14"/>
  <c r="O46" i="14"/>
  <c r="O47" i="14"/>
  <c r="O48" i="14"/>
  <c r="O49" i="14"/>
  <c r="O50" i="14"/>
  <c r="O51" i="14"/>
  <c r="O52" i="14"/>
  <c r="O53" i="14"/>
  <c r="O54" i="14"/>
  <c r="O55" i="14"/>
  <c r="O56" i="14"/>
  <c r="O57" i="14"/>
  <c r="O58" i="14"/>
  <c r="O59" i="14"/>
  <c r="O60" i="14"/>
  <c r="O61" i="14"/>
  <c r="O62" i="14"/>
  <c r="O63" i="14"/>
  <c r="O64" i="14"/>
  <c r="O65" i="14"/>
  <c r="O66" i="14"/>
  <c r="O67" i="14"/>
  <c r="O68" i="14"/>
  <c r="O69" i="14"/>
  <c r="O11" i="14"/>
  <c r="H28" i="11" l="1"/>
  <c r="I26" i="11" s="1"/>
  <c r="I27" i="11" l="1"/>
  <c r="I30" i="11" s="1"/>
  <c r="F9" i="18"/>
  <c r="G9" i="18" s="1"/>
  <c r="H9" i="18" s="1"/>
  <c r="I9" i="18" s="1"/>
  <c r="J9" i="18" s="1"/>
  <c r="K9" i="18" s="1"/>
  <c r="F46" i="17" a="1"/>
  <c r="J46" i="17" l="1"/>
  <c r="H46" i="17"/>
  <c r="I46" i="17"/>
  <c r="F46" i="17"/>
  <c r="G46" i="17"/>
  <c r="H12" i="14"/>
  <c r="H13" i="14"/>
  <c r="H14" i="14"/>
  <c r="H15" i="14"/>
  <c r="H16" i="14"/>
  <c r="H17" i="14"/>
  <c r="H18" i="14"/>
  <c r="H19" i="14"/>
  <c r="H20" i="14"/>
  <c r="H21" i="14"/>
  <c r="H22" i="14"/>
  <c r="H23" i="14"/>
  <c r="H24" i="14"/>
  <c r="H25" i="14"/>
  <c r="H26" i="14"/>
  <c r="H27" i="14"/>
  <c r="H28" i="14"/>
  <c r="H29" i="14"/>
  <c r="H30" i="14"/>
  <c r="H31" i="14"/>
  <c r="H32" i="14"/>
  <c r="H33" i="14"/>
  <c r="H34" i="14"/>
  <c r="H35" i="14"/>
  <c r="H36" i="14"/>
  <c r="H37" i="14"/>
  <c r="H38" i="14"/>
  <c r="H39" i="14"/>
  <c r="H40" i="14"/>
  <c r="H41" i="14"/>
  <c r="H42" i="14"/>
  <c r="H43" i="14"/>
  <c r="H44" i="14"/>
  <c r="H45" i="14"/>
  <c r="H46" i="14"/>
  <c r="H47" i="14"/>
  <c r="H48" i="14"/>
  <c r="H49" i="14"/>
  <c r="H50" i="14"/>
  <c r="H51" i="14"/>
  <c r="H52" i="14"/>
  <c r="H53" i="14"/>
  <c r="H54" i="14"/>
  <c r="H55" i="14"/>
  <c r="H56" i="14"/>
  <c r="H57" i="14"/>
  <c r="H58" i="14"/>
  <c r="H59" i="14"/>
  <c r="H60" i="14"/>
  <c r="H61" i="14"/>
  <c r="H62" i="14"/>
  <c r="H63" i="14"/>
  <c r="H64" i="14"/>
  <c r="H65" i="14"/>
  <c r="H66" i="14"/>
  <c r="H67" i="14"/>
  <c r="H68" i="14"/>
  <c r="H69" i="14"/>
  <c r="H11" i="14"/>
  <c r="D12" i="14"/>
  <c r="D13" i="14"/>
  <c r="D14" i="14"/>
  <c r="D15" i="14"/>
  <c r="D16" i="14"/>
  <c r="D17" i="14"/>
  <c r="D18" i="14"/>
  <c r="D19" i="14"/>
  <c r="D20" i="14"/>
  <c r="D21" i="14"/>
  <c r="D22" i="14"/>
  <c r="D23" i="14"/>
  <c r="D24" i="14"/>
  <c r="D25" i="14"/>
  <c r="D26" i="14"/>
  <c r="D27" i="14"/>
  <c r="D28" i="14"/>
  <c r="D29" i="14"/>
  <c r="D30" i="14"/>
  <c r="D31" i="14"/>
  <c r="D32" i="14"/>
  <c r="D33" i="14"/>
  <c r="D34" i="14"/>
  <c r="D35" i="14"/>
  <c r="D36" i="14"/>
  <c r="D37" i="14"/>
  <c r="D38" i="14"/>
  <c r="D39" i="14"/>
  <c r="D40" i="14"/>
  <c r="D41" i="14"/>
  <c r="D42" i="14"/>
  <c r="D43" i="14"/>
  <c r="D44" i="14"/>
  <c r="D45" i="14"/>
  <c r="D46" i="14"/>
  <c r="D47" i="14"/>
  <c r="D48" i="14"/>
  <c r="D49" i="14"/>
  <c r="D50" i="14"/>
  <c r="D51" i="14"/>
  <c r="D52" i="14"/>
  <c r="D53" i="14"/>
  <c r="D54" i="14"/>
  <c r="D55" i="14"/>
  <c r="D56" i="14"/>
  <c r="D57" i="14"/>
  <c r="D58" i="14"/>
  <c r="D59" i="14"/>
  <c r="D60" i="14"/>
  <c r="D61" i="14"/>
  <c r="D62" i="14"/>
  <c r="D63" i="14"/>
  <c r="D64" i="14"/>
  <c r="D65" i="14"/>
  <c r="D66" i="14"/>
  <c r="D67" i="14"/>
  <c r="D68" i="14"/>
  <c r="D69" i="14"/>
  <c r="D11" i="14"/>
  <c r="J36" i="11"/>
  <c r="I28" i="11"/>
  <c r="J28" i="11" s="1"/>
  <c r="C26" i="11"/>
  <c r="C27" i="11" s="1"/>
  <c r="I42" i="11" s="1"/>
  <c r="F21" i="11"/>
  <c r="F20" i="11"/>
  <c r="H18" i="11"/>
  <c r="H17" i="11"/>
  <c r="H16" i="11"/>
  <c r="G17" i="11"/>
  <c r="G16" i="11"/>
  <c r="N5" i="4"/>
  <c r="M9" i="10"/>
  <c r="M10" i="10" s="1"/>
  <c r="M11" i="10" s="1"/>
  <c r="M12" i="10" s="1"/>
  <c r="M13" i="10" s="1"/>
  <c r="M14" i="10" s="1"/>
  <c r="M15" i="10" s="1"/>
  <c r="M16" i="10" s="1"/>
  <c r="M17" i="10" s="1"/>
  <c r="L9" i="10"/>
  <c r="L10" i="10" s="1"/>
  <c r="L11" i="10" s="1"/>
  <c r="L12" i="10" s="1"/>
  <c r="L13" i="10" s="1"/>
  <c r="L14" i="10" s="1"/>
  <c r="L15" i="10" s="1"/>
  <c r="L16" i="10" s="1"/>
  <c r="L17" i="10" s="1"/>
  <c r="H9" i="10"/>
  <c r="H10" i="10" s="1"/>
  <c r="H11" i="10" s="1"/>
  <c r="H12" i="10" s="1"/>
  <c r="H13" i="10" s="1"/>
  <c r="H14" i="10" s="1"/>
  <c r="H15" i="10" s="1"/>
  <c r="H16" i="10" s="1"/>
  <c r="H17" i="10" s="1"/>
  <c r="G9" i="10"/>
  <c r="G10" i="10" s="1"/>
  <c r="G11" i="10" s="1"/>
  <c r="G12" i="10" s="1"/>
  <c r="G13" i="10" s="1"/>
  <c r="G14" i="10" s="1"/>
  <c r="G15" i="10" s="1"/>
  <c r="G16" i="10" s="1"/>
  <c r="G17" i="10" s="1"/>
  <c r="C9" i="10"/>
  <c r="C10" i="10" s="1"/>
  <c r="C11" i="10" s="1"/>
  <c r="C12" i="10" s="1"/>
  <c r="C13" i="10" s="1"/>
  <c r="C14" i="10" s="1"/>
  <c r="C15" i="10" s="1"/>
  <c r="C16" i="10" s="1"/>
  <c r="C17" i="10" s="1"/>
  <c r="B9" i="10"/>
  <c r="B10" i="10" s="1"/>
  <c r="B11" i="10" s="1"/>
  <c r="C138" i="4"/>
  <c r="D138" i="4"/>
  <c r="E138" i="4"/>
  <c r="F138" i="4"/>
  <c r="G138" i="4"/>
  <c r="H138" i="4"/>
  <c r="I138" i="4"/>
  <c r="J138" i="4"/>
  <c r="K138" i="4"/>
  <c r="L138" i="4"/>
  <c r="M138" i="4"/>
  <c r="C139" i="4"/>
  <c r="D139" i="4"/>
  <c r="E139" i="4"/>
  <c r="F139" i="4"/>
  <c r="G139" i="4"/>
  <c r="H139" i="4"/>
  <c r="I139" i="4"/>
  <c r="J139" i="4"/>
  <c r="K139" i="4"/>
  <c r="L139" i="4"/>
  <c r="M139" i="4"/>
  <c r="C140" i="4"/>
  <c r="D140" i="4"/>
  <c r="E140" i="4"/>
  <c r="F140" i="4"/>
  <c r="G140" i="4"/>
  <c r="H140" i="4"/>
  <c r="I140" i="4"/>
  <c r="J140" i="4"/>
  <c r="K140" i="4"/>
  <c r="L140" i="4"/>
  <c r="M140" i="4"/>
  <c r="C141" i="4"/>
  <c r="D141" i="4"/>
  <c r="E141" i="4"/>
  <c r="F141" i="4"/>
  <c r="G141" i="4"/>
  <c r="H141" i="4"/>
  <c r="I141" i="4"/>
  <c r="J141" i="4"/>
  <c r="K141" i="4"/>
  <c r="L141" i="4"/>
  <c r="M141" i="4"/>
  <c r="C142" i="4"/>
  <c r="D142" i="4"/>
  <c r="E142" i="4"/>
  <c r="F142" i="4"/>
  <c r="G142" i="4"/>
  <c r="H142" i="4"/>
  <c r="I142" i="4"/>
  <c r="J142" i="4"/>
  <c r="K142" i="4"/>
  <c r="L142" i="4"/>
  <c r="N142" i="4" s="1"/>
  <c r="O142" i="4" s="1"/>
  <c r="P142" i="4" s="1"/>
  <c r="Q142" i="4" s="1"/>
  <c r="R142" i="4" s="1"/>
  <c r="M142" i="4"/>
  <c r="C143" i="4"/>
  <c r="D143" i="4"/>
  <c r="E143" i="4"/>
  <c r="F143" i="4"/>
  <c r="G143" i="4"/>
  <c r="H143" i="4"/>
  <c r="I143" i="4"/>
  <c r="J143" i="4"/>
  <c r="K143" i="4"/>
  <c r="L143" i="4"/>
  <c r="M143" i="4"/>
  <c r="C144" i="4"/>
  <c r="D144" i="4"/>
  <c r="E144" i="4"/>
  <c r="F144" i="4"/>
  <c r="G144" i="4"/>
  <c r="H144" i="4"/>
  <c r="I144" i="4"/>
  <c r="J144" i="4"/>
  <c r="K144" i="4"/>
  <c r="L144" i="4"/>
  <c r="M144" i="4"/>
  <c r="C145" i="4"/>
  <c r="D145" i="4"/>
  <c r="E145" i="4"/>
  <c r="F145" i="4"/>
  <c r="G145" i="4"/>
  <c r="H145" i="4"/>
  <c r="I145" i="4"/>
  <c r="J145" i="4"/>
  <c r="K145" i="4"/>
  <c r="L145" i="4"/>
  <c r="M145" i="4"/>
  <c r="D137" i="4"/>
  <c r="E137" i="4"/>
  <c r="F137" i="4"/>
  <c r="G137" i="4"/>
  <c r="H137" i="4"/>
  <c r="I137" i="4"/>
  <c r="J137" i="4"/>
  <c r="K137" i="4"/>
  <c r="L137" i="4"/>
  <c r="M137" i="4"/>
  <c r="C137" i="4"/>
  <c r="C129" i="4"/>
  <c r="D129" i="4"/>
  <c r="E129" i="4"/>
  <c r="F129" i="4"/>
  <c r="G129" i="4"/>
  <c r="H129" i="4"/>
  <c r="I129" i="4"/>
  <c r="J129" i="4"/>
  <c r="K129" i="4"/>
  <c r="L129" i="4"/>
  <c r="C130" i="4"/>
  <c r="D130" i="4"/>
  <c r="E130" i="4"/>
  <c r="F130" i="4"/>
  <c r="G130" i="4"/>
  <c r="H130" i="4"/>
  <c r="I130" i="4"/>
  <c r="J130" i="4"/>
  <c r="K130" i="4"/>
  <c r="L130" i="4"/>
  <c r="C131" i="4"/>
  <c r="D131" i="4"/>
  <c r="E131" i="4"/>
  <c r="F131" i="4"/>
  <c r="G131" i="4"/>
  <c r="H131" i="4"/>
  <c r="I131" i="4"/>
  <c r="J131" i="4"/>
  <c r="K131" i="4"/>
  <c r="L131" i="4"/>
  <c r="C132" i="4"/>
  <c r="D132" i="4"/>
  <c r="E132" i="4"/>
  <c r="F132" i="4"/>
  <c r="G132" i="4"/>
  <c r="H132" i="4"/>
  <c r="I132" i="4"/>
  <c r="J132" i="4"/>
  <c r="K132" i="4"/>
  <c r="L132" i="4"/>
  <c r="M132" i="4"/>
  <c r="C133" i="4"/>
  <c r="D133" i="4"/>
  <c r="E133" i="4"/>
  <c r="F133" i="4"/>
  <c r="G133" i="4"/>
  <c r="H133" i="4"/>
  <c r="I133" i="4"/>
  <c r="J133" i="4"/>
  <c r="K133" i="4"/>
  <c r="L133" i="4"/>
  <c r="M133" i="4"/>
  <c r="C134" i="4"/>
  <c r="D134" i="4"/>
  <c r="E134" i="4"/>
  <c r="F134" i="4"/>
  <c r="G134" i="4"/>
  <c r="H134" i="4"/>
  <c r="I134" i="4"/>
  <c r="J134" i="4"/>
  <c r="K134" i="4"/>
  <c r="L134" i="4"/>
  <c r="M134" i="4"/>
  <c r="D128" i="4"/>
  <c r="E128" i="4"/>
  <c r="F128" i="4"/>
  <c r="G128" i="4"/>
  <c r="I128" i="4"/>
  <c r="J128" i="4"/>
  <c r="K128" i="4"/>
  <c r="L128" i="4"/>
  <c r="M128" i="4"/>
  <c r="C128" i="4"/>
  <c r="D117" i="4"/>
  <c r="E117" i="4"/>
  <c r="F117" i="4"/>
  <c r="G117" i="4"/>
  <c r="H117" i="4"/>
  <c r="I117" i="4"/>
  <c r="J117" i="4"/>
  <c r="K117" i="4"/>
  <c r="L117" i="4"/>
  <c r="M117" i="4"/>
  <c r="C117" i="4"/>
  <c r="C118" i="4"/>
  <c r="D118" i="4"/>
  <c r="E118" i="4"/>
  <c r="F118" i="4"/>
  <c r="G118" i="4"/>
  <c r="C119" i="4"/>
  <c r="D119" i="4"/>
  <c r="E119" i="4"/>
  <c r="F119" i="4"/>
  <c r="G119" i="4"/>
  <c r="C121" i="4"/>
  <c r="D121" i="4"/>
  <c r="E121" i="4"/>
  <c r="F121" i="4"/>
  <c r="G121" i="4"/>
  <c r="C122" i="4"/>
  <c r="D122" i="4"/>
  <c r="E122" i="4"/>
  <c r="F122" i="4"/>
  <c r="G122" i="4"/>
  <c r="C123" i="4"/>
  <c r="D123" i="4"/>
  <c r="E123" i="4"/>
  <c r="F123" i="4"/>
  <c r="G123" i="4"/>
  <c r="C124" i="4"/>
  <c r="D124" i="4"/>
  <c r="E124" i="4"/>
  <c r="F124" i="4"/>
  <c r="G124" i="4"/>
  <c r="C125" i="4"/>
  <c r="D125" i="4"/>
  <c r="E125" i="4"/>
  <c r="F125" i="4"/>
  <c r="G125" i="4"/>
  <c r="C100" i="4"/>
  <c r="D100" i="4"/>
  <c r="E100" i="4"/>
  <c r="F100" i="4"/>
  <c r="G100" i="4"/>
  <c r="C101" i="4"/>
  <c r="D101" i="4"/>
  <c r="E101" i="4"/>
  <c r="F101" i="4"/>
  <c r="G101" i="4"/>
  <c r="C102" i="4"/>
  <c r="D102" i="4"/>
  <c r="E102" i="4"/>
  <c r="F102" i="4"/>
  <c r="G102" i="4"/>
  <c r="C103" i="4"/>
  <c r="D103" i="4"/>
  <c r="E103" i="4"/>
  <c r="F103" i="4"/>
  <c r="G103" i="4"/>
  <c r="C104" i="4"/>
  <c r="D104" i="4"/>
  <c r="E104" i="4"/>
  <c r="F104" i="4"/>
  <c r="G104" i="4"/>
  <c r="D92" i="4"/>
  <c r="E92" i="4"/>
  <c r="F92" i="4"/>
  <c r="G92" i="4"/>
  <c r="H92" i="4"/>
  <c r="I92" i="4"/>
  <c r="J92" i="4"/>
  <c r="K92" i="4"/>
  <c r="L92" i="4"/>
  <c r="N92" i="4" s="1"/>
  <c r="O92" i="4" s="1"/>
  <c r="P92" i="4" s="1"/>
  <c r="Q92" i="4" s="1"/>
  <c r="R92" i="4" s="1"/>
  <c r="M92" i="4"/>
  <c r="D93" i="4"/>
  <c r="E93" i="4"/>
  <c r="F93" i="4"/>
  <c r="G93" i="4"/>
  <c r="H93" i="4"/>
  <c r="I93" i="4"/>
  <c r="J93" i="4"/>
  <c r="K93" i="4"/>
  <c r="L93" i="4"/>
  <c r="M93" i="4"/>
  <c r="D94" i="4"/>
  <c r="E94" i="4"/>
  <c r="F94" i="4"/>
  <c r="G94" i="4"/>
  <c r="H94" i="4"/>
  <c r="I94" i="4"/>
  <c r="J94" i="4"/>
  <c r="K94" i="4"/>
  <c r="L94" i="4"/>
  <c r="M94" i="4"/>
  <c r="D95" i="4"/>
  <c r="E95" i="4"/>
  <c r="F95" i="4"/>
  <c r="G95" i="4"/>
  <c r="H95" i="4"/>
  <c r="I95" i="4"/>
  <c r="J95" i="4"/>
  <c r="K95" i="4"/>
  <c r="L95" i="4"/>
  <c r="M95" i="4"/>
  <c r="D96" i="4"/>
  <c r="E96" i="4"/>
  <c r="F96" i="4"/>
  <c r="G96" i="4"/>
  <c r="H96" i="4"/>
  <c r="I96" i="4"/>
  <c r="J96" i="4"/>
  <c r="K96" i="4"/>
  <c r="L96" i="4"/>
  <c r="M96" i="4"/>
  <c r="C93" i="4"/>
  <c r="C95" i="4"/>
  <c r="C94" i="4"/>
  <c r="C92" i="4"/>
  <c r="C96" i="4"/>
  <c r="C84" i="4"/>
  <c r="D84" i="4"/>
  <c r="E84" i="4"/>
  <c r="F84" i="4"/>
  <c r="G84" i="4"/>
  <c r="C85" i="4"/>
  <c r="D85" i="4"/>
  <c r="E85" i="4"/>
  <c r="F85" i="4"/>
  <c r="G85" i="4"/>
  <c r="C86" i="4"/>
  <c r="D86" i="4"/>
  <c r="E86" i="4"/>
  <c r="F86" i="4"/>
  <c r="G86" i="4"/>
  <c r="C87" i="4"/>
  <c r="D87" i="4"/>
  <c r="E87" i="4"/>
  <c r="F87" i="4"/>
  <c r="G87" i="4"/>
  <c r="C88" i="4"/>
  <c r="D88" i="4"/>
  <c r="E88" i="4"/>
  <c r="F88" i="4"/>
  <c r="G88" i="4"/>
  <c r="C89" i="4"/>
  <c r="D89" i="4"/>
  <c r="E89" i="4"/>
  <c r="F89" i="4"/>
  <c r="G89" i="4"/>
  <c r="D78" i="4"/>
  <c r="E78" i="4"/>
  <c r="F78" i="4"/>
  <c r="G78" i="4"/>
  <c r="H78" i="4"/>
  <c r="F28" i="17" s="1"/>
  <c r="I78" i="4"/>
  <c r="G28" i="17" s="1"/>
  <c r="J78" i="4"/>
  <c r="H28" i="17" s="1"/>
  <c r="K78" i="4"/>
  <c r="I28" i="17" s="1"/>
  <c r="L78" i="4"/>
  <c r="J28" i="17" s="1"/>
  <c r="M78" i="4"/>
  <c r="D77" i="4"/>
  <c r="E77" i="4"/>
  <c r="F77" i="4"/>
  <c r="G77" i="4"/>
  <c r="H77" i="4"/>
  <c r="I77" i="4"/>
  <c r="J77" i="4"/>
  <c r="K77" i="4"/>
  <c r="L77" i="4"/>
  <c r="N77" i="4" s="1"/>
  <c r="O77" i="4" s="1"/>
  <c r="P77" i="4" s="1"/>
  <c r="Q77" i="4" s="1"/>
  <c r="R77" i="4" s="1"/>
  <c r="M77" i="4"/>
  <c r="C77" i="4"/>
  <c r="I79" i="4"/>
  <c r="G29" i="17" s="1"/>
  <c r="J79" i="4"/>
  <c r="H29" i="17" s="1"/>
  <c r="K79" i="4"/>
  <c r="I29" i="17" s="1"/>
  <c r="L79" i="4"/>
  <c r="J29" i="17" s="1"/>
  <c r="M79" i="4"/>
  <c r="H79" i="4"/>
  <c r="F29" i="17" s="1"/>
  <c r="C79" i="4"/>
  <c r="D79" i="4"/>
  <c r="E79" i="4"/>
  <c r="F79" i="4"/>
  <c r="G79" i="4"/>
  <c r="C78" i="4"/>
  <c r="C74" i="4"/>
  <c r="D74" i="4"/>
  <c r="E74" i="4"/>
  <c r="F74" i="4"/>
  <c r="G74" i="4"/>
  <c r="C75" i="4"/>
  <c r="D75" i="4"/>
  <c r="E75" i="4"/>
  <c r="F75" i="4"/>
  <c r="G75" i="4"/>
  <c r="C80" i="4"/>
  <c r="D80" i="4"/>
  <c r="E80" i="4"/>
  <c r="F80" i="4"/>
  <c r="G80" i="4"/>
  <c r="D66" i="4"/>
  <c r="E66" i="4"/>
  <c r="F66" i="4"/>
  <c r="G66" i="4"/>
  <c r="I66" i="4"/>
  <c r="J66" i="4"/>
  <c r="K66" i="4"/>
  <c r="M66" i="4"/>
  <c r="C66" i="4"/>
  <c r="C64" i="4"/>
  <c r="D64" i="4"/>
  <c r="E149" i="4" s="1"/>
  <c r="E64" i="4"/>
  <c r="F149" i="4" s="1"/>
  <c r="F64" i="4"/>
  <c r="G149" i="4" s="1"/>
  <c r="G64" i="4"/>
  <c r="H149" i="4" s="1"/>
  <c r="C65" i="4"/>
  <c r="D65" i="4"/>
  <c r="E65" i="4"/>
  <c r="F65" i="4"/>
  <c r="G65" i="4"/>
  <c r="C67" i="4"/>
  <c r="D67" i="4"/>
  <c r="E67" i="4"/>
  <c r="F67" i="4"/>
  <c r="G67" i="4"/>
  <c r="C68" i="4"/>
  <c r="D68" i="4"/>
  <c r="E68" i="4"/>
  <c r="F68" i="4"/>
  <c r="G68" i="4"/>
  <c r="C69" i="4"/>
  <c r="D69" i="4"/>
  <c r="E69" i="4"/>
  <c r="F69" i="4"/>
  <c r="G69" i="4"/>
  <c r="C70" i="4"/>
  <c r="D70" i="4"/>
  <c r="E70" i="4"/>
  <c r="F70" i="4"/>
  <c r="G70" i="4"/>
  <c r="C71" i="4"/>
  <c r="D71" i="4"/>
  <c r="E71" i="4"/>
  <c r="F71" i="4"/>
  <c r="G71" i="4"/>
  <c r="C50" i="4"/>
  <c r="D50" i="4"/>
  <c r="E50" i="4"/>
  <c r="F50" i="4"/>
  <c r="G50" i="4"/>
  <c r="C38" i="4"/>
  <c r="D38" i="4"/>
  <c r="E38" i="4"/>
  <c r="F38" i="4"/>
  <c r="G38" i="4"/>
  <c r="C8" i="4"/>
  <c r="D8" i="4"/>
  <c r="E8" i="4"/>
  <c r="F8" i="4"/>
  <c r="G8" i="4"/>
  <c r="C11" i="4"/>
  <c r="D11" i="4"/>
  <c r="E11" i="4"/>
  <c r="F11" i="4"/>
  <c r="G11" i="4"/>
  <c r="C17" i="4"/>
  <c r="D17" i="4"/>
  <c r="E17" i="4"/>
  <c r="F17" i="4"/>
  <c r="G17" i="4"/>
  <c r="C20" i="4"/>
  <c r="D20" i="4"/>
  <c r="E20" i="4"/>
  <c r="F20" i="4"/>
  <c r="G20" i="4"/>
  <c r="C26" i="4"/>
  <c r="D26" i="4"/>
  <c r="E26" i="4"/>
  <c r="F26" i="4"/>
  <c r="G26" i="4"/>
  <c r="C32" i="4"/>
  <c r="D32" i="4"/>
  <c r="E32" i="4"/>
  <c r="F32" i="4"/>
  <c r="G32" i="4"/>
  <c r="C35" i="4"/>
  <c r="D35" i="4"/>
  <c r="E35" i="4"/>
  <c r="F35" i="4"/>
  <c r="G35" i="4"/>
  <c r="C44" i="4"/>
  <c r="D44" i="4"/>
  <c r="E44" i="4"/>
  <c r="F44" i="4"/>
  <c r="G44" i="4"/>
  <c r="C55" i="4"/>
  <c r="D55" i="4"/>
  <c r="E55" i="4"/>
  <c r="F55" i="4"/>
  <c r="G55" i="4"/>
  <c r="D6" i="4"/>
  <c r="I6" i="4"/>
  <c r="H40" i="26" s="1"/>
  <c r="H46" i="26" s="1"/>
  <c r="H62" i="26" s="1"/>
  <c r="H68" i="26" s="1"/>
  <c r="H8" i="4"/>
  <c r="H11" i="4"/>
  <c r="H17" i="4"/>
  <c r="H20" i="4"/>
  <c r="H26" i="4"/>
  <c r="H32" i="4"/>
  <c r="H35" i="4"/>
  <c r="H38" i="4"/>
  <c r="H44" i="4"/>
  <c r="H21" i="16" s="1"/>
  <c r="H50" i="4"/>
  <c r="H55" i="4"/>
  <c r="H65" i="4"/>
  <c r="H67" i="4"/>
  <c r="H68" i="4"/>
  <c r="H70" i="4"/>
  <c r="H71" i="4"/>
  <c r="H74" i="4"/>
  <c r="H75" i="4"/>
  <c r="H80" i="4"/>
  <c r="H84" i="4"/>
  <c r="H85" i="4"/>
  <c r="H86" i="4"/>
  <c r="H87" i="4"/>
  <c r="F19" i="17" s="1"/>
  <c r="H88" i="4"/>
  <c r="H89" i="4"/>
  <c r="H100" i="4"/>
  <c r="H101" i="4"/>
  <c r="H102" i="4"/>
  <c r="H103" i="4"/>
  <c r="H104" i="4"/>
  <c r="H118" i="4"/>
  <c r="H119" i="4"/>
  <c r="H121" i="4"/>
  <c r="H122" i="4"/>
  <c r="H123" i="4"/>
  <c r="H124" i="4"/>
  <c r="H125" i="4"/>
  <c r="B40" i="8"/>
  <c r="B34" i="8"/>
  <c r="B33" i="8"/>
  <c r="B41" i="8"/>
  <c r="B42" i="8"/>
  <c r="B43" i="8"/>
  <c r="B37" i="8"/>
  <c r="B36" i="8"/>
  <c r="B35" i="8"/>
  <c r="B26" i="28" s="1"/>
  <c r="B22" i="8"/>
  <c r="B21" i="8"/>
  <c r="B19" i="8"/>
  <c r="B15" i="28" s="1"/>
  <c r="B18" i="8"/>
  <c r="B17" i="8"/>
  <c r="B13" i="28" s="1"/>
  <c r="B16" i="8"/>
  <c r="B12" i="28" s="1"/>
  <c r="B15" i="8"/>
  <c r="B13" i="8"/>
  <c r="B12" i="8"/>
  <c r="B11" i="8"/>
  <c r="B10" i="8"/>
  <c r="B9" i="8"/>
  <c r="B11" i="28" s="1"/>
  <c r="I122" i="4"/>
  <c r="J122" i="4"/>
  <c r="K122" i="4"/>
  <c r="L122" i="4"/>
  <c r="M122" i="4"/>
  <c r="I123" i="4"/>
  <c r="J123" i="4"/>
  <c r="K123" i="4"/>
  <c r="L123" i="4"/>
  <c r="M123" i="4"/>
  <c r="I124" i="4"/>
  <c r="J124" i="4"/>
  <c r="K124" i="4"/>
  <c r="L124" i="4"/>
  <c r="M124" i="4"/>
  <c r="I125" i="4"/>
  <c r="J125" i="4"/>
  <c r="K125" i="4"/>
  <c r="L125" i="4"/>
  <c r="M125" i="4"/>
  <c r="J121" i="4"/>
  <c r="K121" i="4"/>
  <c r="L121" i="4"/>
  <c r="M121" i="4"/>
  <c r="I121" i="4"/>
  <c r="I119" i="4"/>
  <c r="J119" i="4"/>
  <c r="K119" i="4"/>
  <c r="L119" i="4"/>
  <c r="M119" i="4"/>
  <c r="J118" i="4"/>
  <c r="K118" i="4"/>
  <c r="L118" i="4"/>
  <c r="M118" i="4"/>
  <c r="I118" i="4"/>
  <c r="P143" i="4" l="1"/>
  <c r="Q143" i="4" s="1"/>
  <c r="N143" i="4"/>
  <c r="O143" i="4" s="1"/>
  <c r="F42" i="17"/>
  <c r="N93" i="4"/>
  <c r="O93" i="4" s="1"/>
  <c r="N96" i="4"/>
  <c r="N138" i="4" s="1"/>
  <c r="O138" i="4"/>
  <c r="M146" i="4"/>
  <c r="G48" i="26"/>
  <c r="G51" i="26"/>
  <c r="G70" i="26" s="1"/>
  <c r="G73" i="26" s="1"/>
  <c r="M97" i="4"/>
  <c r="D149" i="4"/>
  <c r="K34" i="14"/>
  <c r="K39" i="14" s="1"/>
  <c r="I17" i="11" s="1"/>
  <c r="J17" i="11" s="1"/>
  <c r="K26" i="14"/>
  <c r="K31" i="14" s="1"/>
  <c r="I16" i="11" s="1"/>
  <c r="J16" i="11" s="1"/>
  <c r="K18" i="14"/>
  <c r="K23" i="14" s="1"/>
  <c r="I15" i="11" s="1"/>
  <c r="J15" i="11" s="1"/>
  <c r="K42" i="14"/>
  <c r="K47" i="14" s="1"/>
  <c r="I18" i="11" s="1"/>
  <c r="J18" i="11" s="1"/>
  <c r="I14" i="11"/>
  <c r="E17" i="16"/>
  <c r="E34" i="8"/>
  <c r="E41" i="8" s="1"/>
  <c r="E35" i="8"/>
  <c r="E42" i="8" s="1"/>
  <c r="I8" i="16"/>
  <c r="I26" i="16" s="1"/>
  <c r="G6" i="17"/>
  <c r="G40" i="17" s="1"/>
  <c r="G54" i="17" s="1"/>
  <c r="E9" i="16"/>
  <c r="E33" i="8"/>
  <c r="E40" i="8" s="1"/>
  <c r="H35" i="8"/>
  <c r="H34" i="8"/>
  <c r="H41" i="8" s="1"/>
  <c r="H9" i="16"/>
  <c r="H33" i="8"/>
  <c r="H40" i="8" s="1"/>
  <c r="D35" i="8"/>
  <c r="D42" i="8" s="1"/>
  <c r="D34" i="8"/>
  <c r="D41" i="8" s="1"/>
  <c r="G9" i="16"/>
  <c r="G33" i="8"/>
  <c r="G40" i="8" s="1"/>
  <c r="F9" i="16"/>
  <c r="F33" i="8"/>
  <c r="F40" i="8" s="1"/>
  <c r="D13" i="8"/>
  <c r="G34" i="8"/>
  <c r="G41" i="8" s="1"/>
  <c r="G35" i="8"/>
  <c r="G42" i="8" s="1"/>
  <c r="D9" i="16"/>
  <c r="D33" i="8"/>
  <c r="D40" i="8" s="1"/>
  <c r="E6" i="4"/>
  <c r="D8" i="16"/>
  <c r="D26" i="16" s="1"/>
  <c r="F34" i="8"/>
  <c r="F41" i="8" s="1"/>
  <c r="F35" i="8"/>
  <c r="F42" i="8" s="1"/>
  <c r="H13" i="16"/>
  <c r="H12" i="16"/>
  <c r="H10" i="16"/>
  <c r="G13" i="16"/>
  <c r="G18" i="16"/>
  <c r="D146" i="4"/>
  <c r="H13" i="8"/>
  <c r="G21" i="16"/>
  <c r="G12" i="16"/>
  <c r="G13" i="8"/>
  <c r="G10" i="16"/>
  <c r="G15" i="16"/>
  <c r="G17" i="16"/>
  <c r="H9" i="4"/>
  <c r="H9" i="8" s="1"/>
  <c r="C146" i="4"/>
  <c r="H17" i="16"/>
  <c r="C21" i="16"/>
  <c r="D12" i="16"/>
  <c r="C135" i="4"/>
  <c r="E135" i="4"/>
  <c r="F146" i="4"/>
  <c r="G146" i="4"/>
  <c r="H15" i="16"/>
  <c r="E13" i="8"/>
  <c r="D17" i="16"/>
  <c r="D135" i="4"/>
  <c r="E146" i="4"/>
  <c r="F30" i="17"/>
  <c r="E13" i="16"/>
  <c r="E18" i="16"/>
  <c r="D13" i="16"/>
  <c r="H135" i="4"/>
  <c r="F25" i="17"/>
  <c r="D18" i="16"/>
  <c r="C13" i="16"/>
  <c r="G27" i="17"/>
  <c r="F9" i="4"/>
  <c r="F9" i="8" s="1"/>
  <c r="F12" i="17"/>
  <c r="F21" i="16"/>
  <c r="C18" i="16"/>
  <c r="E15" i="16"/>
  <c r="D10" i="16"/>
  <c r="F116" i="4"/>
  <c r="F19" i="16"/>
  <c r="F27" i="17"/>
  <c r="F13" i="8"/>
  <c r="E9" i="4"/>
  <c r="E9" i="8" s="1"/>
  <c r="F17" i="17"/>
  <c r="F9" i="17"/>
  <c r="C116" i="4"/>
  <c r="C19" i="16"/>
  <c r="F16" i="17"/>
  <c r="F8" i="17"/>
  <c r="F13" i="16"/>
  <c r="C12" i="16"/>
  <c r="J27" i="17"/>
  <c r="F18" i="16"/>
  <c r="C17" i="16"/>
  <c r="I27" i="17"/>
  <c r="F32" i="17"/>
  <c r="F10" i="16"/>
  <c r="C9" i="16"/>
  <c r="H27" i="17"/>
  <c r="G9" i="4"/>
  <c r="G9" i="8" s="1"/>
  <c r="F15" i="16"/>
  <c r="E10" i="16"/>
  <c r="G116" i="4"/>
  <c r="G19" i="16"/>
  <c r="F20" i="17"/>
  <c r="F11" i="17"/>
  <c r="H19" i="16"/>
  <c r="E21" i="16"/>
  <c r="D15" i="16"/>
  <c r="F12" i="16"/>
  <c r="C10" i="16"/>
  <c r="E116" i="4"/>
  <c r="E19" i="16"/>
  <c r="G135" i="4"/>
  <c r="D9" i="4"/>
  <c r="D9" i="8" s="1"/>
  <c r="F18" i="17"/>
  <c r="F10" i="17"/>
  <c r="H18" i="16"/>
  <c r="D21" i="16"/>
  <c r="F17" i="16"/>
  <c r="C15" i="16"/>
  <c r="E12" i="16"/>
  <c r="D116" i="4"/>
  <c r="D19" i="16"/>
  <c r="F135" i="4"/>
  <c r="H20" i="11"/>
  <c r="J26" i="11" s="1"/>
  <c r="G21" i="11"/>
  <c r="H21" i="11"/>
  <c r="G20" i="11"/>
  <c r="B12" i="10"/>
  <c r="B13" i="10" s="1"/>
  <c r="B14" i="10" s="1"/>
  <c r="B15" i="10" s="1"/>
  <c r="B16" i="10" s="1"/>
  <c r="B17" i="10" s="1"/>
  <c r="C97" i="4"/>
  <c r="D90" i="4"/>
  <c r="E105" i="4"/>
  <c r="E106" i="4" s="1"/>
  <c r="F105" i="4"/>
  <c r="F106" i="4" s="1"/>
  <c r="C105" i="4"/>
  <c r="C106" i="4" s="1"/>
  <c r="C37" i="8" s="1"/>
  <c r="C90" i="4"/>
  <c r="D105" i="4"/>
  <c r="D106" i="4" s="1"/>
  <c r="G105" i="4"/>
  <c r="G106" i="4" s="1"/>
  <c r="D97" i="4"/>
  <c r="G90" i="4"/>
  <c r="F97" i="4"/>
  <c r="E97" i="4"/>
  <c r="G97" i="4"/>
  <c r="F90" i="4"/>
  <c r="E90" i="4"/>
  <c r="C76" i="4"/>
  <c r="G18" i="4"/>
  <c r="G21" i="8" s="1"/>
  <c r="D76" i="4"/>
  <c r="D36" i="8" s="1"/>
  <c r="G12" i="4"/>
  <c r="E76" i="4"/>
  <c r="E36" i="8" s="1"/>
  <c r="G27" i="4"/>
  <c r="G22" i="8" s="1"/>
  <c r="G76" i="4"/>
  <c r="G39" i="4"/>
  <c r="F76" i="4"/>
  <c r="G72" i="4"/>
  <c r="G36" i="4"/>
  <c r="C18" i="4"/>
  <c r="C21" i="8" s="1"/>
  <c r="E14" i="4"/>
  <c r="F72" i="4"/>
  <c r="E72" i="4"/>
  <c r="D72" i="4"/>
  <c r="C72" i="4"/>
  <c r="C14" i="4"/>
  <c r="D14" i="4"/>
  <c r="G21" i="4"/>
  <c r="F36" i="4"/>
  <c r="F12" i="4"/>
  <c r="F27" i="4"/>
  <c r="F22" i="8" s="1"/>
  <c r="F18" i="4"/>
  <c r="F21" i="8" s="1"/>
  <c r="F39" i="4"/>
  <c r="F21" i="4"/>
  <c r="D27" i="4"/>
  <c r="D22" i="8" s="1"/>
  <c r="C33" i="4"/>
  <c r="D18" i="4"/>
  <c r="D21" i="8" s="1"/>
  <c r="C27" i="4"/>
  <c r="C22" i="8" s="1"/>
  <c r="D33" i="4"/>
  <c r="E39" i="4"/>
  <c r="E27" i="4"/>
  <c r="E22" i="8" s="1"/>
  <c r="D39" i="4"/>
  <c r="E21" i="4"/>
  <c r="C39" i="4"/>
  <c r="D21" i="4"/>
  <c r="E36" i="4"/>
  <c r="D36" i="4"/>
  <c r="E18" i="4"/>
  <c r="E21" i="8" s="1"/>
  <c r="E12" i="4"/>
  <c r="C36" i="4"/>
  <c r="D12" i="4"/>
  <c r="G33" i="4"/>
  <c r="C12" i="4"/>
  <c r="F33" i="4"/>
  <c r="C21" i="4"/>
  <c r="G14" i="4"/>
  <c r="E33" i="4"/>
  <c r="F14" i="4"/>
  <c r="H27" i="4"/>
  <c r="H22" i="8" s="1"/>
  <c r="H21" i="4"/>
  <c r="H18" i="4"/>
  <c r="H21" i="8" s="1"/>
  <c r="H97" i="4"/>
  <c r="H33" i="4"/>
  <c r="H105" i="4"/>
  <c r="H39" i="4"/>
  <c r="H36" i="4"/>
  <c r="H76" i="4"/>
  <c r="H146" i="4"/>
  <c r="H14" i="4"/>
  <c r="H90" i="4"/>
  <c r="H72" i="4"/>
  <c r="H116" i="4"/>
  <c r="H12" i="4"/>
  <c r="I146" i="4"/>
  <c r="L146" i="4"/>
  <c r="K146" i="4"/>
  <c r="J146" i="4"/>
  <c r="L135" i="4"/>
  <c r="K135" i="4"/>
  <c r="J135" i="4"/>
  <c r="M135" i="4"/>
  <c r="I135" i="4"/>
  <c r="J14" i="11" l="1"/>
  <c r="I20" i="11"/>
  <c r="R143" i="4"/>
  <c r="O96" i="4"/>
  <c r="R149" i="4"/>
  <c r="P93" i="4"/>
  <c r="Q149" i="4"/>
  <c r="P149" i="4"/>
  <c r="O149" i="4"/>
  <c r="N97" i="4"/>
  <c r="F37" i="8"/>
  <c r="H106" i="4"/>
  <c r="G42" i="26"/>
  <c r="G56" i="26" s="1"/>
  <c r="P138" i="4"/>
  <c r="C81" i="4"/>
  <c r="C82" i="4" s="1"/>
  <c r="E37" i="8"/>
  <c r="G37" i="8"/>
  <c r="D37" i="8"/>
  <c r="D43" i="8"/>
  <c r="F43" i="8"/>
  <c r="F6" i="4"/>
  <c r="E8" i="16"/>
  <c r="E26" i="16" s="1"/>
  <c r="G43" i="8"/>
  <c r="E43" i="8"/>
  <c r="C36" i="8"/>
  <c r="G15" i="4"/>
  <c r="G15" i="8" s="1"/>
  <c r="G11" i="16"/>
  <c r="E15" i="4"/>
  <c r="E15" i="8" s="1"/>
  <c r="E11" i="16"/>
  <c r="E81" i="4"/>
  <c r="E82" i="4" s="1"/>
  <c r="E56" i="16" s="1"/>
  <c r="F21" i="17"/>
  <c r="D15" i="4"/>
  <c r="D15" i="8" s="1"/>
  <c r="D11" i="16"/>
  <c r="D81" i="4"/>
  <c r="F81" i="4"/>
  <c r="H23" i="4"/>
  <c r="H25" i="8" s="1"/>
  <c r="H11" i="16"/>
  <c r="G81" i="4"/>
  <c r="G82" i="4" s="1"/>
  <c r="G36" i="8"/>
  <c r="F13" i="17"/>
  <c r="H81" i="4"/>
  <c r="H82" i="4" s="1"/>
  <c r="F26" i="17"/>
  <c r="F31" i="17" s="1"/>
  <c r="F33" i="17" s="1"/>
  <c r="F15" i="4"/>
  <c r="F15" i="8" s="1"/>
  <c r="F11" i="16"/>
  <c r="C23" i="4"/>
  <c r="C29" i="4" s="1"/>
  <c r="C11" i="16"/>
  <c r="F36" i="8"/>
  <c r="J42" i="11"/>
  <c r="J27" i="11"/>
  <c r="J43" i="11" s="1"/>
  <c r="J21" i="11"/>
  <c r="J34" i="11" s="1"/>
  <c r="J20" i="11"/>
  <c r="I21" i="11"/>
  <c r="C98" i="4"/>
  <c r="D98" i="4"/>
  <c r="G98" i="4"/>
  <c r="E98" i="4"/>
  <c r="F98" i="4"/>
  <c r="E23" i="4"/>
  <c r="D23" i="4"/>
  <c r="C15" i="4"/>
  <c r="C15" i="8" s="1"/>
  <c r="F23" i="4"/>
  <c r="G23" i="4"/>
  <c r="H98" i="4"/>
  <c r="H36" i="8"/>
  <c r="H42" i="8"/>
  <c r="H15" i="4"/>
  <c r="H15" i="8" s="1"/>
  <c r="Q93" i="4" l="1"/>
  <c r="P96" i="4"/>
  <c r="P97" i="4" s="1"/>
  <c r="O97" i="4"/>
  <c r="C33" i="16"/>
  <c r="C37" i="16"/>
  <c r="Q138" i="4"/>
  <c r="H37" i="8"/>
  <c r="H30" i="8"/>
  <c r="G52" i="26"/>
  <c r="F23" i="17"/>
  <c r="F35" i="17" s="1"/>
  <c r="G6" i="4"/>
  <c r="G8" i="16" s="1"/>
  <c r="G26" i="16" s="1"/>
  <c r="F8" i="16"/>
  <c r="F26" i="16" s="1"/>
  <c r="G56" i="16"/>
  <c r="G49" i="16"/>
  <c r="E49" i="16"/>
  <c r="H24" i="4"/>
  <c r="H17" i="8" s="1"/>
  <c r="H41" i="16"/>
  <c r="H36" i="16"/>
  <c r="H27" i="16"/>
  <c r="H39" i="16"/>
  <c r="H35" i="16"/>
  <c r="H43" i="16"/>
  <c r="H48" i="16"/>
  <c r="H45" i="16"/>
  <c r="H47" i="16"/>
  <c r="H30" i="16"/>
  <c r="H55" i="16"/>
  <c r="H28" i="16"/>
  <c r="H51" i="16"/>
  <c r="H44" i="16"/>
  <c r="H32" i="16"/>
  <c r="H38" i="16"/>
  <c r="H29" i="16"/>
  <c r="H31" i="16"/>
  <c r="H37" i="16"/>
  <c r="F107" i="4"/>
  <c r="E24" i="4"/>
  <c r="E17" i="8" s="1"/>
  <c r="E14" i="16"/>
  <c r="E29" i="8"/>
  <c r="E25" i="8"/>
  <c r="E11" i="8"/>
  <c r="C40" i="16"/>
  <c r="C30" i="4"/>
  <c r="C16" i="8" s="1"/>
  <c r="C16" i="16"/>
  <c r="G24" i="4"/>
  <c r="G17" i="8" s="1"/>
  <c r="G14" i="16"/>
  <c r="G25" i="8"/>
  <c r="G11" i="8"/>
  <c r="G29" i="8"/>
  <c r="H40" i="16"/>
  <c r="F29" i="4"/>
  <c r="F41" i="4" s="1"/>
  <c r="F20" i="16" s="1"/>
  <c r="F14" i="16"/>
  <c r="F11" i="8"/>
  <c r="F29" i="8"/>
  <c r="F25" i="8"/>
  <c r="D82" i="4"/>
  <c r="E37" i="16"/>
  <c r="D29" i="4"/>
  <c r="D14" i="16"/>
  <c r="D29" i="8"/>
  <c r="D11" i="8"/>
  <c r="D25" i="8"/>
  <c r="H33" i="16"/>
  <c r="H29" i="8"/>
  <c r="G107" i="4"/>
  <c r="G109" i="4" s="1"/>
  <c r="G57" i="16"/>
  <c r="C56" i="16"/>
  <c r="G41" i="16"/>
  <c r="G48" i="16"/>
  <c r="G43" i="16"/>
  <c r="G28" i="16"/>
  <c r="G31" i="16"/>
  <c r="G30" i="16"/>
  <c r="G47" i="16"/>
  <c r="G55" i="16"/>
  <c r="G32" i="16"/>
  <c r="G38" i="16"/>
  <c r="G29" i="16"/>
  <c r="G27" i="16"/>
  <c r="G39" i="16"/>
  <c r="G35" i="16"/>
  <c r="G45" i="16"/>
  <c r="G51" i="16"/>
  <c r="G36" i="16"/>
  <c r="G46" i="16"/>
  <c r="D107" i="4"/>
  <c r="G37" i="16"/>
  <c r="H49" i="16"/>
  <c r="C41" i="16"/>
  <c r="C29" i="16"/>
  <c r="C38" i="16"/>
  <c r="C31" i="16"/>
  <c r="C30" i="16"/>
  <c r="C43" i="16"/>
  <c r="C47" i="16"/>
  <c r="C44" i="16"/>
  <c r="C55" i="16"/>
  <c r="C51" i="16"/>
  <c r="C36" i="16"/>
  <c r="C32" i="16"/>
  <c r="C48" i="16"/>
  <c r="C35" i="16"/>
  <c r="C28" i="16"/>
  <c r="C53" i="16"/>
  <c r="C27" i="16"/>
  <c r="C39" i="16"/>
  <c r="C54" i="16"/>
  <c r="C45" i="16"/>
  <c r="E41" i="16"/>
  <c r="E31" i="16"/>
  <c r="E46" i="16"/>
  <c r="E54" i="16"/>
  <c r="E43" i="16"/>
  <c r="E29" i="16"/>
  <c r="E35" i="16"/>
  <c r="E48" i="16"/>
  <c r="E27" i="16"/>
  <c r="E55" i="16"/>
  <c r="E51" i="16"/>
  <c r="E44" i="16"/>
  <c r="E30" i="16"/>
  <c r="E28" i="16"/>
  <c r="E53" i="16"/>
  <c r="E45" i="16"/>
  <c r="E39" i="16"/>
  <c r="E36" i="16"/>
  <c r="E47" i="16"/>
  <c r="E38" i="16"/>
  <c r="E32" i="16"/>
  <c r="C24" i="4"/>
  <c r="C17" i="8" s="1"/>
  <c r="C14" i="16"/>
  <c r="C25" i="8"/>
  <c r="C29" i="8"/>
  <c r="H56" i="16"/>
  <c r="H14" i="16"/>
  <c r="F36" i="17"/>
  <c r="H11" i="8"/>
  <c r="E40" i="16"/>
  <c r="H29" i="4"/>
  <c r="H30" i="4" s="1"/>
  <c r="H16" i="8" s="1"/>
  <c r="E107" i="4"/>
  <c r="E109" i="4" s="1"/>
  <c r="E57" i="16"/>
  <c r="C49" i="16"/>
  <c r="H107" i="4"/>
  <c r="H109" i="4" s="1"/>
  <c r="H57" i="16"/>
  <c r="F82" i="4"/>
  <c r="F57" i="16" s="1"/>
  <c r="C107" i="4"/>
  <c r="C109" i="4" s="1"/>
  <c r="C57" i="16"/>
  <c r="G33" i="16"/>
  <c r="G40" i="16"/>
  <c r="E33" i="16"/>
  <c r="J30" i="11"/>
  <c r="J35" i="11" s="1"/>
  <c r="J37" i="11" s="1"/>
  <c r="D24" i="4"/>
  <c r="D17" i="8" s="1"/>
  <c r="E29" i="4"/>
  <c r="C41" i="4"/>
  <c r="F24" i="4"/>
  <c r="F17" i="8" s="1"/>
  <c r="G29" i="4"/>
  <c r="H43" i="8"/>
  <c r="Q96" i="4" l="1"/>
  <c r="R93" i="4"/>
  <c r="R138" i="4"/>
  <c r="G55" i="26"/>
  <c r="G53" i="26"/>
  <c r="F109" i="4"/>
  <c r="D109" i="4"/>
  <c r="D57" i="16"/>
  <c r="F40" i="16"/>
  <c r="D40" i="16"/>
  <c r="C47" i="4"/>
  <c r="C115" i="4" s="1"/>
  <c r="C126" i="4" s="1"/>
  <c r="C148" i="4" s="1"/>
  <c r="C20" i="16"/>
  <c r="E30" i="4"/>
  <c r="E16" i="8" s="1"/>
  <c r="E16" i="16"/>
  <c r="E10" i="8"/>
  <c r="D16" i="16"/>
  <c r="D10" i="8"/>
  <c r="D30" i="4"/>
  <c r="D16" i="8" s="1"/>
  <c r="F41" i="16"/>
  <c r="F48" i="16"/>
  <c r="F36" i="16"/>
  <c r="F27" i="16"/>
  <c r="F32" i="16"/>
  <c r="F51" i="16"/>
  <c r="F46" i="16"/>
  <c r="F45" i="16"/>
  <c r="F28" i="16"/>
  <c r="F43" i="16"/>
  <c r="F35" i="16"/>
  <c r="F54" i="16"/>
  <c r="F30" i="16"/>
  <c r="F55" i="16"/>
  <c r="F31" i="16"/>
  <c r="F47" i="16"/>
  <c r="F39" i="16"/>
  <c r="F38" i="16"/>
  <c r="F53" i="16"/>
  <c r="F29" i="16"/>
  <c r="F37" i="16"/>
  <c r="F56" i="16"/>
  <c r="F49" i="16"/>
  <c r="F33" i="16"/>
  <c r="D41" i="16"/>
  <c r="D30" i="16"/>
  <c r="D35" i="16"/>
  <c r="D47" i="16"/>
  <c r="D45" i="16"/>
  <c r="D39" i="16"/>
  <c r="D36" i="16"/>
  <c r="D43" i="16"/>
  <c r="D38" i="16"/>
  <c r="D32" i="16"/>
  <c r="D28" i="16"/>
  <c r="D27" i="16"/>
  <c r="D29" i="16"/>
  <c r="D53" i="16"/>
  <c r="D55" i="16"/>
  <c r="D46" i="16"/>
  <c r="D44" i="16"/>
  <c r="D48" i="16"/>
  <c r="D54" i="16"/>
  <c r="D31" i="16"/>
  <c r="D51" i="16"/>
  <c r="D37" i="16"/>
  <c r="D33" i="16"/>
  <c r="D49" i="16"/>
  <c r="D56" i="16"/>
  <c r="F16" i="16"/>
  <c r="F10" i="8"/>
  <c r="F30" i="4"/>
  <c r="F16" i="8" s="1"/>
  <c r="H41" i="4"/>
  <c r="H16" i="16"/>
  <c r="H10" i="8"/>
  <c r="G41" i="4"/>
  <c r="G20" i="16" s="1"/>
  <c r="G16" i="16"/>
  <c r="G10" i="8"/>
  <c r="D41" i="4"/>
  <c r="D20" i="16" s="1"/>
  <c r="F38" i="17"/>
  <c r="F45" i="17"/>
  <c r="C36" i="11"/>
  <c r="C37" i="11" s="1"/>
  <c r="I43" i="11" s="1"/>
  <c r="C42" i="4"/>
  <c r="C18" i="8" s="1"/>
  <c r="E41" i="4"/>
  <c r="C45" i="4"/>
  <c r="G30" i="4"/>
  <c r="G16" i="8" s="1"/>
  <c r="F47" i="4"/>
  <c r="F42" i="4"/>
  <c r="F18" i="8" s="1"/>
  <c r="F45" i="4"/>
  <c r="C52" i="4" l="1"/>
  <c r="C56" i="4" s="1"/>
  <c r="R96" i="4"/>
  <c r="Q97" i="4"/>
  <c r="G64" i="26"/>
  <c r="G57" i="26"/>
  <c r="G42" i="4"/>
  <c r="G18" i="8" s="1"/>
  <c r="C48" i="4"/>
  <c r="C19" i="8" s="1"/>
  <c r="G47" i="4"/>
  <c r="G22" i="16" s="1"/>
  <c r="D42" i="4"/>
  <c r="D18" i="8" s="1"/>
  <c r="D45" i="4"/>
  <c r="D47" i="4"/>
  <c r="D22" i="16" s="1"/>
  <c r="G45" i="4"/>
  <c r="E47" i="4"/>
  <c r="F12" i="8" s="1"/>
  <c r="E20" i="16"/>
  <c r="C46" i="8"/>
  <c r="C47" i="8"/>
  <c r="C48" i="8"/>
  <c r="G115" i="4"/>
  <c r="G126" i="4" s="1"/>
  <c r="H20" i="16"/>
  <c r="H45" i="4"/>
  <c r="H47" i="4"/>
  <c r="H42" i="4"/>
  <c r="H18" i="8" s="1"/>
  <c r="F115" i="4"/>
  <c r="F126" i="4" s="1"/>
  <c r="F22" i="16"/>
  <c r="F27" i="8"/>
  <c r="C22" i="16"/>
  <c r="C27" i="8"/>
  <c r="J44" i="11"/>
  <c r="E45" i="4"/>
  <c r="E42" i="4"/>
  <c r="E18" i="8" s="1"/>
  <c r="F48" i="4"/>
  <c r="F19" i="8" s="1"/>
  <c r="F52" i="4"/>
  <c r="G48" i="4"/>
  <c r="G19" i="8" s="1"/>
  <c r="R97" i="4" l="1"/>
  <c r="H27" i="8"/>
  <c r="G41" i="26"/>
  <c r="G43" i="26" s="1"/>
  <c r="G47" i="26"/>
  <c r="G74" i="26"/>
  <c r="G75" i="26" s="1"/>
  <c r="C58" i="4"/>
  <c r="C26" i="8" s="1"/>
  <c r="C28" i="8" s="1"/>
  <c r="G12" i="8"/>
  <c r="E52" i="4"/>
  <c r="F53" i="4" s="1"/>
  <c r="D52" i="4"/>
  <c r="D48" i="4"/>
  <c r="D19" i="8" s="1"/>
  <c r="G52" i="4"/>
  <c r="G56" i="4" s="1"/>
  <c r="G58" i="4" s="1"/>
  <c r="G26" i="8" s="1"/>
  <c r="G27" i="8"/>
  <c r="D12" i="8"/>
  <c r="D115" i="4"/>
  <c r="D126" i="4" s="1"/>
  <c r="D148" i="4" s="1"/>
  <c r="D150" i="4" s="1"/>
  <c r="D152" i="4" s="1"/>
  <c r="D27" i="8"/>
  <c r="E48" i="4"/>
  <c r="E19" i="8" s="1"/>
  <c r="H22" i="16"/>
  <c r="H12" i="8"/>
  <c r="H115" i="4"/>
  <c r="H126" i="4" s="1"/>
  <c r="H148" i="4" s="1"/>
  <c r="H150" i="4" s="1"/>
  <c r="H152" i="4" s="1"/>
  <c r="H52" i="4"/>
  <c r="H48" i="4"/>
  <c r="H19" i="8" s="1"/>
  <c r="E21" i="18"/>
  <c r="K16" i="18" s="1"/>
  <c r="I31" i="18"/>
  <c r="F47" i="8"/>
  <c r="F48" i="8"/>
  <c r="F46" i="8"/>
  <c r="F148" i="4"/>
  <c r="F150" i="4" s="1"/>
  <c r="F152" i="4" s="1"/>
  <c r="G46" i="8"/>
  <c r="G48" i="8"/>
  <c r="G47" i="8"/>
  <c r="G148" i="4"/>
  <c r="G150" i="4" s="1"/>
  <c r="G152" i="4" s="1"/>
  <c r="E115" i="4"/>
  <c r="E126" i="4" s="1"/>
  <c r="E22" i="16"/>
  <c r="E27" i="8"/>
  <c r="E12" i="8"/>
  <c r="F56" i="4"/>
  <c r="F58" i="4" s="1"/>
  <c r="F26" i="8" s="1"/>
  <c r="F28" i="8" s="1"/>
  <c r="G63" i="26" l="1"/>
  <c r="G49" i="26"/>
  <c r="G59" i="26" s="1"/>
  <c r="E53" i="4"/>
  <c r="D56" i="4"/>
  <c r="D58" i="4" s="1"/>
  <c r="D26" i="8" s="1"/>
  <c r="D28" i="8" s="1"/>
  <c r="D53" i="4"/>
  <c r="E56" i="4"/>
  <c r="E58" i="4" s="1"/>
  <c r="E26" i="8" s="1"/>
  <c r="E28" i="8" s="1"/>
  <c r="G28" i="8"/>
  <c r="D46" i="8"/>
  <c r="D47" i="8"/>
  <c r="G53" i="4"/>
  <c r="D48" i="8"/>
  <c r="I16" i="18"/>
  <c r="J16" i="18"/>
  <c r="E26" i="18"/>
  <c r="G16" i="18"/>
  <c r="H16" i="18"/>
  <c r="H53" i="4"/>
  <c r="E47" i="8"/>
  <c r="E46" i="8"/>
  <c r="E48" i="8"/>
  <c r="E148" i="4"/>
  <c r="E150" i="4" s="1"/>
  <c r="E152" i="4" s="1"/>
  <c r="H46" i="8"/>
  <c r="H48" i="8"/>
  <c r="H47" i="8"/>
  <c r="H56" i="4"/>
  <c r="H58" i="4" s="1"/>
  <c r="H26" i="8" s="1"/>
  <c r="H28" i="8" s="1"/>
  <c r="I101" i="4"/>
  <c r="J101" i="4"/>
  <c r="K101" i="4"/>
  <c r="L101" i="4"/>
  <c r="M101" i="4"/>
  <c r="I102" i="4"/>
  <c r="J102" i="4"/>
  <c r="K102" i="4"/>
  <c r="L102" i="4"/>
  <c r="M102" i="4"/>
  <c r="I103" i="4"/>
  <c r="J103" i="4"/>
  <c r="K103" i="4"/>
  <c r="L103" i="4"/>
  <c r="M103" i="4"/>
  <c r="I104" i="4"/>
  <c r="J104" i="4"/>
  <c r="K104" i="4"/>
  <c r="L104" i="4"/>
  <c r="M104" i="4"/>
  <c r="J100" i="4"/>
  <c r="K100" i="4"/>
  <c r="L100" i="4"/>
  <c r="N100" i="4" s="1"/>
  <c r="O100" i="4" s="1"/>
  <c r="P100" i="4" s="1"/>
  <c r="Q100" i="4" s="1"/>
  <c r="R100" i="4" s="1"/>
  <c r="M100" i="4"/>
  <c r="I100" i="4"/>
  <c r="I89" i="4"/>
  <c r="J89" i="4"/>
  <c r="K89" i="4"/>
  <c r="L89" i="4"/>
  <c r="M89" i="4"/>
  <c r="I86" i="4"/>
  <c r="J86" i="4"/>
  <c r="K86" i="4"/>
  <c r="L86" i="4"/>
  <c r="N86" i="4" s="1"/>
  <c r="O86" i="4" s="1"/>
  <c r="P86" i="4" s="1"/>
  <c r="Q86" i="4" s="1"/>
  <c r="R86" i="4" s="1"/>
  <c r="M86" i="4"/>
  <c r="I87" i="4"/>
  <c r="J87" i="4"/>
  <c r="K87" i="4"/>
  <c r="L87" i="4"/>
  <c r="N87" i="4" s="1"/>
  <c r="O87" i="4" s="1"/>
  <c r="P87" i="4" s="1"/>
  <c r="Q87" i="4" s="1"/>
  <c r="R87" i="4" s="1"/>
  <c r="I88" i="4"/>
  <c r="J88" i="4"/>
  <c r="K88" i="4"/>
  <c r="L88" i="4"/>
  <c r="N88" i="4" s="1"/>
  <c r="O88" i="4" s="1"/>
  <c r="P88" i="4" s="1"/>
  <c r="Q88" i="4" s="1"/>
  <c r="R88" i="4" s="1"/>
  <c r="M88" i="4"/>
  <c r="I85" i="4"/>
  <c r="J85" i="4"/>
  <c r="K85" i="4"/>
  <c r="L85" i="4"/>
  <c r="M85" i="4"/>
  <c r="N85" i="4" s="1"/>
  <c r="J84" i="4"/>
  <c r="K84" i="4"/>
  <c r="L84" i="4"/>
  <c r="M84" i="4"/>
  <c r="I84" i="4"/>
  <c r="I80" i="4"/>
  <c r="J80" i="4"/>
  <c r="K80" i="4"/>
  <c r="L80" i="4"/>
  <c r="N80" i="4" s="1"/>
  <c r="M80" i="4"/>
  <c r="I75" i="4"/>
  <c r="J75" i="4"/>
  <c r="K75" i="4"/>
  <c r="L75" i="4"/>
  <c r="M75" i="4"/>
  <c r="J74" i="4"/>
  <c r="K74" i="4"/>
  <c r="L74" i="4"/>
  <c r="N74" i="4" s="1"/>
  <c r="O74" i="4" s="1"/>
  <c r="M74" i="4"/>
  <c r="I74" i="4"/>
  <c r="J71" i="4"/>
  <c r="K71" i="4"/>
  <c r="L71" i="4"/>
  <c r="M71" i="4"/>
  <c r="I71" i="4"/>
  <c r="J70" i="4"/>
  <c r="K70" i="4"/>
  <c r="L70" i="4"/>
  <c r="M70" i="4"/>
  <c r="I70" i="4"/>
  <c r="I68" i="4"/>
  <c r="J68" i="4"/>
  <c r="K68" i="4"/>
  <c r="L68" i="4"/>
  <c r="N68" i="4" s="1"/>
  <c r="O68" i="4" s="1"/>
  <c r="P68" i="4" s="1"/>
  <c r="Q68" i="4" s="1"/>
  <c r="R68" i="4" s="1"/>
  <c r="M68" i="4"/>
  <c r="J67" i="4"/>
  <c r="K67" i="4"/>
  <c r="L67" i="4"/>
  <c r="M67" i="4"/>
  <c r="I67" i="4"/>
  <c r="I65" i="4"/>
  <c r="J65" i="4"/>
  <c r="K65" i="4"/>
  <c r="L65" i="4"/>
  <c r="N65" i="4" s="1"/>
  <c r="M65" i="4"/>
  <c r="N134" i="4" l="1"/>
  <c r="O80" i="4"/>
  <c r="N139" i="4"/>
  <c r="N146" i="4" s="1"/>
  <c r="O85" i="4"/>
  <c r="O137" i="4" s="1"/>
  <c r="O146" i="4" s="1"/>
  <c r="N102" i="4"/>
  <c r="O65" i="4"/>
  <c r="P65" i="4" s="1"/>
  <c r="Q65" i="4" s="1"/>
  <c r="R65" i="4" s="1"/>
  <c r="N132" i="4"/>
  <c r="N104" i="4"/>
  <c r="O104" i="4" s="1"/>
  <c r="P104" i="4" s="1"/>
  <c r="Q104" i="4" s="1"/>
  <c r="R104" i="4" s="1"/>
  <c r="P80" i="4"/>
  <c r="Q80" i="4" s="1"/>
  <c r="R80" i="4" s="1"/>
  <c r="N89" i="4"/>
  <c r="N71" i="4"/>
  <c r="N125" i="4" s="1"/>
  <c r="N67" i="4"/>
  <c r="N121" i="4" s="1"/>
  <c r="E37" i="18"/>
  <c r="G69" i="26"/>
  <c r="G71" i="26" s="1"/>
  <c r="G77" i="26" s="1"/>
  <c r="G65" i="26"/>
  <c r="M105" i="4"/>
  <c r="M106" i="4" s="1"/>
  <c r="G12" i="17"/>
  <c r="H16" i="17"/>
  <c r="G9" i="17"/>
  <c r="H10" i="17"/>
  <c r="H25" i="17"/>
  <c r="I30" i="17"/>
  <c r="H20" i="17"/>
  <c r="J18" i="17"/>
  <c r="G10" i="17"/>
  <c r="J12" i="17"/>
  <c r="H30" i="17"/>
  <c r="J17" i="17"/>
  <c r="G20" i="17"/>
  <c r="I18" i="17"/>
  <c r="G8" i="17"/>
  <c r="I10" i="17"/>
  <c r="J30" i="17"/>
  <c r="I20" i="17"/>
  <c r="J9" i="17"/>
  <c r="I12" i="17"/>
  <c r="G30" i="17"/>
  <c r="I17" i="17"/>
  <c r="H18" i="17"/>
  <c r="I9" i="17"/>
  <c r="H12" i="17"/>
  <c r="G16" i="17"/>
  <c r="J19" i="17"/>
  <c r="H9" i="17"/>
  <c r="G25" i="17"/>
  <c r="G17" i="17"/>
  <c r="I8" i="17"/>
  <c r="I11" i="17"/>
  <c r="G32" i="17"/>
  <c r="J16" i="17"/>
  <c r="H19" i="17"/>
  <c r="I25" i="17"/>
  <c r="G11" i="17"/>
  <c r="J32" i="17"/>
  <c r="I32" i="17"/>
  <c r="H17" i="17"/>
  <c r="G18" i="17"/>
  <c r="J8" i="17"/>
  <c r="J11" i="17"/>
  <c r="H32" i="17"/>
  <c r="I19" i="17"/>
  <c r="H8" i="17"/>
  <c r="J10" i="17"/>
  <c r="H11" i="17"/>
  <c r="J25" i="17"/>
  <c r="I16" i="17"/>
  <c r="J20" i="17"/>
  <c r="G19" i="17"/>
  <c r="K76" i="4"/>
  <c r="L105" i="4"/>
  <c r="J76" i="4"/>
  <c r="J97" i="4"/>
  <c r="L76" i="4"/>
  <c r="I76" i="4"/>
  <c r="K90" i="4"/>
  <c r="I97" i="4"/>
  <c r="I72" i="4"/>
  <c r="I90" i="4"/>
  <c r="K105" i="4"/>
  <c r="M90" i="4"/>
  <c r="L97" i="4"/>
  <c r="J105" i="4"/>
  <c r="K72" i="4"/>
  <c r="J72" i="4"/>
  <c r="L90" i="4"/>
  <c r="K97" i="4"/>
  <c r="J90" i="4"/>
  <c r="M76" i="4"/>
  <c r="I105" i="4"/>
  <c r="P85" i="4" l="1"/>
  <c r="Q85" i="4" s="1"/>
  <c r="R85" i="4" s="1"/>
  <c r="N124" i="4"/>
  <c r="O124" i="4"/>
  <c r="O71" i="4"/>
  <c r="O125" i="4" s="1"/>
  <c r="O134" i="4"/>
  <c r="O89" i="4"/>
  <c r="O67" i="4"/>
  <c r="O121" i="4" s="1"/>
  <c r="M81" i="4"/>
  <c r="O132" i="4"/>
  <c r="L81" i="4"/>
  <c r="K106" i="4"/>
  <c r="K30" i="8" s="1"/>
  <c r="H24" i="28" s="1"/>
  <c r="J42" i="26"/>
  <c r="J56" i="26" s="1"/>
  <c r="P74" i="4"/>
  <c r="I106" i="4"/>
  <c r="I30" i="8" s="1"/>
  <c r="H42" i="26"/>
  <c r="H56" i="26" s="1"/>
  <c r="L106" i="4"/>
  <c r="L30" i="8" s="1"/>
  <c r="I24" i="28" s="1"/>
  <c r="K42" i="26"/>
  <c r="K56" i="26" s="1"/>
  <c r="J106" i="4"/>
  <c r="J30" i="8" s="1"/>
  <c r="G24" i="28" s="1"/>
  <c r="I42" i="26"/>
  <c r="I56" i="26" s="1"/>
  <c r="I21" i="17"/>
  <c r="H13" i="17"/>
  <c r="I81" i="4"/>
  <c r="I82" i="4" s="1"/>
  <c r="G26" i="17"/>
  <c r="G31" i="17" s="1"/>
  <c r="G33" i="17" s="1"/>
  <c r="I13" i="17"/>
  <c r="J13" i="17"/>
  <c r="J98" i="4"/>
  <c r="J107" i="4" s="1"/>
  <c r="J26" i="17"/>
  <c r="J31" i="17" s="1"/>
  <c r="J33" i="17" s="1"/>
  <c r="H21" i="17"/>
  <c r="J21" i="17"/>
  <c r="G13" i="17"/>
  <c r="G21" i="17"/>
  <c r="K81" i="4"/>
  <c r="K82" i="4" s="1"/>
  <c r="I26" i="17"/>
  <c r="I31" i="17" s="1"/>
  <c r="I33" i="17" s="1"/>
  <c r="J81" i="4"/>
  <c r="H26" i="17"/>
  <c r="H31" i="17" s="1"/>
  <c r="H33" i="17" s="1"/>
  <c r="K98" i="4"/>
  <c r="L98" i="4"/>
  <c r="I98" i="4"/>
  <c r="M98" i="4"/>
  <c r="M107" i="4" s="1"/>
  <c r="P124" i="4" l="1"/>
  <c r="Q124" i="4"/>
  <c r="J23" i="17"/>
  <c r="J35" i="17" s="1"/>
  <c r="P89" i="4"/>
  <c r="R124" i="4"/>
  <c r="P132" i="4"/>
  <c r="P134" i="4"/>
  <c r="P137" i="4"/>
  <c r="P146" i="4" s="1"/>
  <c r="F24" i="28"/>
  <c r="P30" i="8"/>
  <c r="Q74" i="4"/>
  <c r="R74" i="4" s="1"/>
  <c r="H52" i="26"/>
  <c r="I23" i="17"/>
  <c r="J43" i="17" s="1"/>
  <c r="I37" i="16"/>
  <c r="I33" i="16"/>
  <c r="G23" i="17"/>
  <c r="G43" i="17" s="1"/>
  <c r="K41" i="16"/>
  <c r="K38" i="16"/>
  <c r="K51" i="16"/>
  <c r="K52" i="16"/>
  <c r="K55" i="16"/>
  <c r="K44" i="16"/>
  <c r="K36" i="16"/>
  <c r="K45" i="16"/>
  <c r="K39" i="16"/>
  <c r="K31" i="16"/>
  <c r="K46" i="16"/>
  <c r="K35" i="16"/>
  <c r="K30" i="16"/>
  <c r="K28" i="16"/>
  <c r="K48" i="16"/>
  <c r="K43" i="16"/>
  <c r="K47" i="16"/>
  <c r="K27" i="16"/>
  <c r="K32" i="16"/>
  <c r="K29" i="16"/>
  <c r="K33" i="16"/>
  <c r="I56" i="16"/>
  <c r="I41" i="16"/>
  <c r="I52" i="16"/>
  <c r="I51" i="16"/>
  <c r="I38" i="16"/>
  <c r="I55" i="16"/>
  <c r="I32" i="16"/>
  <c r="I43" i="16"/>
  <c r="I29" i="16"/>
  <c r="I36" i="16"/>
  <c r="I28" i="16"/>
  <c r="I44" i="16"/>
  <c r="I39" i="16"/>
  <c r="I31" i="16"/>
  <c r="I45" i="16"/>
  <c r="I46" i="16"/>
  <c r="I48" i="16"/>
  <c r="I47" i="16"/>
  <c r="I35" i="16"/>
  <c r="I27" i="16"/>
  <c r="I30" i="16"/>
  <c r="I107" i="4"/>
  <c r="I109" i="4" s="1"/>
  <c r="I57" i="16"/>
  <c r="K40" i="16"/>
  <c r="K56" i="16"/>
  <c r="I40" i="16"/>
  <c r="K37" i="16"/>
  <c r="L107" i="4"/>
  <c r="J82" i="4"/>
  <c r="J57" i="16" s="1"/>
  <c r="I49" i="16"/>
  <c r="K49" i="16"/>
  <c r="K107" i="4"/>
  <c r="K109" i="4" s="1"/>
  <c r="K57" i="16"/>
  <c r="H23" i="17"/>
  <c r="Q137" i="4" l="1"/>
  <c r="Q146" i="4" s="1"/>
  <c r="Q134" i="4"/>
  <c r="Q132" i="4"/>
  <c r="Q89" i="4"/>
  <c r="H43" i="17"/>
  <c r="G35" i="17"/>
  <c r="I52" i="26"/>
  <c r="I55" i="26" s="1"/>
  <c r="J52" i="26"/>
  <c r="H55" i="26"/>
  <c r="I35" i="17"/>
  <c r="H35" i="17"/>
  <c r="J40" i="16"/>
  <c r="I43" i="17"/>
  <c r="J41" i="16"/>
  <c r="J55" i="16"/>
  <c r="J51" i="16"/>
  <c r="J38" i="16"/>
  <c r="J52" i="16"/>
  <c r="J30" i="16"/>
  <c r="J44" i="16"/>
  <c r="J36" i="16"/>
  <c r="J32" i="16"/>
  <c r="J39" i="16"/>
  <c r="J27" i="16"/>
  <c r="J48" i="16"/>
  <c r="J31" i="16"/>
  <c r="J28" i="16"/>
  <c r="J43" i="16"/>
  <c r="J35" i="16"/>
  <c r="J45" i="16"/>
  <c r="J46" i="16"/>
  <c r="J29" i="16"/>
  <c r="J47" i="16"/>
  <c r="J37" i="16"/>
  <c r="J49" i="16"/>
  <c r="J56" i="16"/>
  <c r="J33" i="16"/>
  <c r="J109" i="4"/>
  <c r="I8" i="4"/>
  <c r="J55" i="4"/>
  <c r="G17" i="28" s="1"/>
  <c r="K55" i="4"/>
  <c r="H17" i="28" s="1"/>
  <c r="L55" i="4"/>
  <c r="I17" i="28" s="1"/>
  <c r="I55" i="4"/>
  <c r="J50" i="4"/>
  <c r="K50" i="4"/>
  <c r="L50" i="4"/>
  <c r="M50" i="4"/>
  <c r="I50" i="4"/>
  <c r="J32" i="4"/>
  <c r="K32" i="4"/>
  <c r="L32" i="4"/>
  <c r="M32" i="4"/>
  <c r="I32" i="4"/>
  <c r="K35" i="4"/>
  <c r="L35" i="4"/>
  <c r="M35" i="4"/>
  <c r="J35" i="4"/>
  <c r="I35" i="4"/>
  <c r="J44" i="4"/>
  <c r="K44" i="4"/>
  <c r="M44" i="4"/>
  <c r="I44" i="4"/>
  <c r="J20" i="4"/>
  <c r="K20" i="4"/>
  <c r="L20" i="4"/>
  <c r="M20" i="4"/>
  <c r="I20" i="4"/>
  <c r="J38" i="4"/>
  <c r="H42" i="17" s="1"/>
  <c r="K38" i="4"/>
  <c r="I42" i="17" s="1"/>
  <c r="L38" i="4"/>
  <c r="M38" i="4"/>
  <c r="I38" i="4"/>
  <c r="G42" i="17" s="1"/>
  <c r="I26" i="4"/>
  <c r="J26" i="4"/>
  <c r="K26" i="4"/>
  <c r="L26" i="4"/>
  <c r="M26" i="4"/>
  <c r="J17" i="4"/>
  <c r="K17" i="4"/>
  <c r="L17" i="4"/>
  <c r="M17" i="4"/>
  <c r="I17" i="4"/>
  <c r="M11" i="4"/>
  <c r="J11" i="4"/>
  <c r="K11" i="4"/>
  <c r="L11" i="4"/>
  <c r="I11" i="4"/>
  <c r="J8" i="4"/>
  <c r="K8" i="4"/>
  <c r="L8" i="4"/>
  <c r="J6" i="4"/>
  <c r="I40" i="26" s="1"/>
  <c r="I46" i="26" s="1"/>
  <c r="I62" i="26" s="1"/>
  <c r="I68" i="26" s="1"/>
  <c r="M14" i="4" l="1"/>
  <c r="M12" i="4"/>
  <c r="N20" i="4"/>
  <c r="O20" i="4"/>
  <c r="P20" i="4"/>
  <c r="Q20" i="4"/>
  <c r="R20" i="4"/>
  <c r="J15" i="16"/>
  <c r="J18" i="16"/>
  <c r="J17" i="16"/>
  <c r="R132" i="4"/>
  <c r="M116" i="4"/>
  <c r="R89" i="4"/>
  <c r="J42" i="17"/>
  <c r="J48" i="17" s="1"/>
  <c r="R137" i="4"/>
  <c r="R146" i="4" s="1"/>
  <c r="I48" i="26"/>
  <c r="I51" i="26"/>
  <c r="I70" i="26" s="1"/>
  <c r="I73" i="26" s="1"/>
  <c r="H48" i="26"/>
  <c r="H51" i="26"/>
  <c r="D8" i="10" a="1"/>
  <c r="J51" i="26"/>
  <c r="J70" i="26" s="1"/>
  <c r="J73" i="26" s="1"/>
  <c r="J48" i="26"/>
  <c r="L33" i="8"/>
  <c r="L40" i="8" s="1"/>
  <c r="N8" i="4"/>
  <c r="K51" i="26"/>
  <c r="K70" i="26" s="1"/>
  <c r="K73" i="26" s="1"/>
  <c r="K48" i="26"/>
  <c r="I13" i="8"/>
  <c r="F17" i="28"/>
  <c r="J55" i="26"/>
  <c r="H64" i="26"/>
  <c r="H57" i="26"/>
  <c r="I64" i="26"/>
  <c r="I57" i="26"/>
  <c r="I35" i="8"/>
  <c r="I42" i="8" s="1"/>
  <c r="F26" i="28" s="1"/>
  <c r="I34" i="8"/>
  <c r="J35" i="8"/>
  <c r="J42" i="8" s="1"/>
  <c r="G26" i="28" s="1"/>
  <c r="J34" i="8"/>
  <c r="J41" i="8" s="1"/>
  <c r="K9" i="16"/>
  <c r="K33" i="8"/>
  <c r="K40" i="8" s="1"/>
  <c r="J9" i="16"/>
  <c r="J33" i="8"/>
  <c r="J40" i="8" s="1"/>
  <c r="I33" i="8"/>
  <c r="I37" i="8"/>
  <c r="L35" i="8"/>
  <c r="L42" i="8" s="1"/>
  <c r="I26" i="28" s="1"/>
  <c r="L34" i="8"/>
  <c r="L41" i="8" s="1"/>
  <c r="K34" i="8"/>
  <c r="K41" i="8" s="1"/>
  <c r="K35" i="8"/>
  <c r="K42" i="8" s="1"/>
  <c r="H26" i="28" s="1"/>
  <c r="K6" i="4"/>
  <c r="J40" i="26" s="1"/>
  <c r="J46" i="26" s="1"/>
  <c r="J62" i="26" s="1"/>
  <c r="J68" i="26" s="1"/>
  <c r="J8" i="16"/>
  <c r="J26" i="16" s="1"/>
  <c r="H6" i="17"/>
  <c r="H40" i="17" s="1"/>
  <c r="H54" i="17" s="1"/>
  <c r="K17" i="16"/>
  <c r="I21" i="16"/>
  <c r="K15" i="16"/>
  <c r="J21" i="16"/>
  <c r="L17" i="16"/>
  <c r="J10" i="16"/>
  <c r="L15" i="16"/>
  <c r="J116" i="4"/>
  <c r="J19" i="16"/>
  <c r="H48" i="17"/>
  <c r="K21" i="16"/>
  <c r="L13" i="16"/>
  <c r="I116" i="4"/>
  <c r="I19" i="16"/>
  <c r="R38" i="4"/>
  <c r="P38" i="4"/>
  <c r="P135" i="4" s="1"/>
  <c r="Q38" i="4"/>
  <c r="Q135" i="4" s="1"/>
  <c r="O38" i="4"/>
  <c r="O135" i="4" s="1"/>
  <c r="N38" i="4"/>
  <c r="N135" i="4" s="1"/>
  <c r="G48" i="17"/>
  <c r="K13" i="16"/>
  <c r="I13" i="16"/>
  <c r="I12" i="16"/>
  <c r="O17" i="4"/>
  <c r="N17" i="4"/>
  <c r="P17" i="4"/>
  <c r="R17" i="4"/>
  <c r="Q17" i="4"/>
  <c r="I15" i="16"/>
  <c r="O26" i="4"/>
  <c r="N26" i="4"/>
  <c r="I10" i="16"/>
  <c r="J13" i="16"/>
  <c r="L18" i="16"/>
  <c r="I9" i="4"/>
  <c r="I9" i="8" s="1"/>
  <c r="F11" i="28" s="1"/>
  <c r="I9" i="16"/>
  <c r="L9" i="16"/>
  <c r="L21" i="16"/>
  <c r="L9" i="4"/>
  <c r="L9" i="8" s="1"/>
  <c r="I11" i="28" s="1"/>
  <c r="M9" i="4"/>
  <c r="I18" i="16"/>
  <c r="O35" i="4"/>
  <c r="N35" i="4"/>
  <c r="Q35" i="4"/>
  <c r="R35" i="4"/>
  <c r="P35" i="4"/>
  <c r="L12" i="16"/>
  <c r="L10" i="16"/>
  <c r="J12" i="16"/>
  <c r="L116" i="4"/>
  <c r="L19" i="16"/>
  <c r="K18" i="16"/>
  <c r="K12" i="16"/>
  <c r="K10" i="16"/>
  <c r="K116" i="4"/>
  <c r="K19" i="16"/>
  <c r="I48" i="17"/>
  <c r="I17" i="16"/>
  <c r="Q32" i="4"/>
  <c r="N32" i="4"/>
  <c r="O32" i="4"/>
  <c r="P32" i="4"/>
  <c r="R32" i="4"/>
  <c r="L13" i="8"/>
  <c r="J13" i="8"/>
  <c r="L36" i="8"/>
  <c r="L37" i="8"/>
  <c r="I36" i="8"/>
  <c r="K37" i="8"/>
  <c r="K36" i="8"/>
  <c r="J37" i="8"/>
  <c r="J36" i="8"/>
  <c r="K13" i="8"/>
  <c r="I21" i="4"/>
  <c r="M23" i="4"/>
  <c r="M29" i="4" s="1"/>
  <c r="K14" i="4"/>
  <c r="I14" i="4"/>
  <c r="J14" i="4"/>
  <c r="L14" i="4"/>
  <c r="I39" i="4"/>
  <c r="L39" i="4"/>
  <c r="J39" i="4"/>
  <c r="M39" i="4"/>
  <c r="K39" i="4"/>
  <c r="M27" i="4"/>
  <c r="J27" i="4"/>
  <c r="J22" i="8" s="1"/>
  <c r="I27" i="4"/>
  <c r="I22" i="8" s="1"/>
  <c r="L36" i="4"/>
  <c r="L12" i="4"/>
  <c r="J21" i="4"/>
  <c r="L21" i="4"/>
  <c r="L27" i="4"/>
  <c r="L22" i="8" s="1"/>
  <c r="K12" i="4"/>
  <c r="M36" i="4"/>
  <c r="K21" i="4"/>
  <c r="K18" i="4"/>
  <c r="K21" i="8" s="1"/>
  <c r="J18" i="4"/>
  <c r="J21" i="8" s="1"/>
  <c r="K27" i="4"/>
  <c r="K22" i="8" s="1"/>
  <c r="I18" i="4"/>
  <c r="I21" i="8" s="1"/>
  <c r="J9" i="4"/>
  <c r="J9" i="8" s="1"/>
  <c r="G11" i="28" s="1"/>
  <c r="M21" i="4"/>
  <c r="K36" i="4"/>
  <c r="J36" i="4"/>
  <c r="K9" i="4"/>
  <c r="K9" i="8" s="1"/>
  <c r="H11" i="28" s="1"/>
  <c r="I12" i="4"/>
  <c r="I36" i="4"/>
  <c r="J12" i="4"/>
  <c r="M18" i="4"/>
  <c r="L18" i="4"/>
  <c r="L21" i="8" s="1"/>
  <c r="O8" i="4" l="1"/>
  <c r="O118" i="4" s="1"/>
  <c r="N118" i="4"/>
  <c r="R134" i="4"/>
  <c r="R135" i="4" s="1"/>
  <c r="R116" i="4"/>
  <c r="N116" i="4"/>
  <c r="O116" i="4"/>
  <c r="Q116" i="4"/>
  <c r="P116" i="4"/>
  <c r="I53" i="26"/>
  <c r="J53" i="26"/>
  <c r="D11" i="10"/>
  <c r="D16" i="10"/>
  <c r="D8" i="10"/>
  <c r="D10" i="10"/>
  <c r="D14" i="10"/>
  <c r="D15" i="10"/>
  <c r="D9" i="10"/>
  <c r="D17" i="10"/>
  <c r="D13" i="10"/>
  <c r="D12" i="10"/>
  <c r="H70" i="26"/>
  <c r="H73" i="26" s="1"/>
  <c r="H53" i="26"/>
  <c r="J57" i="26"/>
  <c r="J64" i="26"/>
  <c r="I74" i="26"/>
  <c r="I75" i="26" s="1"/>
  <c r="H74" i="26"/>
  <c r="P13" i="8"/>
  <c r="P9" i="8"/>
  <c r="P21" i="8"/>
  <c r="P42" i="8"/>
  <c r="L6" i="4"/>
  <c r="K40" i="26" s="1"/>
  <c r="K46" i="26" s="1"/>
  <c r="K62" i="26" s="1"/>
  <c r="K68" i="26" s="1"/>
  <c r="I6" i="17"/>
  <c r="I40" i="17" s="1"/>
  <c r="I54" i="17" s="1"/>
  <c r="K8" i="16"/>
  <c r="K26" i="16" s="1"/>
  <c r="P22" i="8"/>
  <c r="P37" i="8"/>
  <c r="P34" i="8"/>
  <c r="P36" i="8"/>
  <c r="P33" i="8"/>
  <c r="P35" i="8"/>
  <c r="N35" i="8"/>
  <c r="O35" i="8"/>
  <c r="L23" i="4"/>
  <c r="L11" i="16"/>
  <c r="N33" i="4"/>
  <c r="J23" i="4"/>
  <c r="J29" i="8" s="1"/>
  <c r="J11" i="16"/>
  <c r="I23" i="4"/>
  <c r="I25" i="8" s="1"/>
  <c r="F22" i="28" s="1"/>
  <c r="I11" i="16"/>
  <c r="K23" i="4"/>
  <c r="K25" i="8" s="1"/>
  <c r="H22" i="28" s="1"/>
  <c r="K11" i="16"/>
  <c r="N9" i="8"/>
  <c r="N13" i="8"/>
  <c r="N42" i="8"/>
  <c r="O42" i="8"/>
  <c r="O9" i="8"/>
  <c r="O36" i="8"/>
  <c r="N36" i="8"/>
  <c r="N37" i="8"/>
  <c r="O37" i="8"/>
  <c r="O21" i="8"/>
  <c r="N21" i="8"/>
  <c r="N33" i="8"/>
  <c r="O33" i="8"/>
  <c r="O13" i="8"/>
  <c r="N22" i="8"/>
  <c r="O22" i="8"/>
  <c r="N34" i="8"/>
  <c r="O34" i="8"/>
  <c r="I41" i="8"/>
  <c r="P41" i="8" s="1"/>
  <c r="I40" i="8"/>
  <c r="P40" i="8" s="1"/>
  <c r="J43" i="8"/>
  <c r="L43" i="8"/>
  <c r="K43" i="8"/>
  <c r="K15" i="4"/>
  <c r="M24" i="4"/>
  <c r="M15" i="4"/>
  <c r="M41" i="4"/>
  <c r="L33" i="4"/>
  <c r="J33" i="4"/>
  <c r="K33" i="4"/>
  <c r="I33" i="4"/>
  <c r="M33" i="4"/>
  <c r="J15" i="4"/>
  <c r="I15" i="4"/>
  <c r="L15" i="4"/>
  <c r="O11" i="4" l="1"/>
  <c r="O14" i="4" s="1"/>
  <c r="O15" i="4" s="1"/>
  <c r="P8" i="4"/>
  <c r="P36" i="4" s="1"/>
  <c r="O18" i="4"/>
  <c r="O21" i="4"/>
  <c r="O27" i="4"/>
  <c r="O36" i="4"/>
  <c r="N84" i="4"/>
  <c r="N70" i="4"/>
  <c r="O39" i="4"/>
  <c r="P18" i="4"/>
  <c r="P21" i="4"/>
  <c r="P118" i="4"/>
  <c r="P11" i="4"/>
  <c r="P33" i="4" s="1"/>
  <c r="P39" i="4"/>
  <c r="Q8" i="4"/>
  <c r="R8" i="4" s="1"/>
  <c r="P27" i="4"/>
  <c r="E15" i="10"/>
  <c r="H75" i="26"/>
  <c r="L15" i="8"/>
  <c r="I14" i="28"/>
  <c r="K15" i="8"/>
  <c r="H14" i="28"/>
  <c r="I15" i="8"/>
  <c r="F14" i="28"/>
  <c r="J15" i="8"/>
  <c r="G14" i="28"/>
  <c r="J74" i="26"/>
  <c r="J75" i="26" s="1"/>
  <c r="J6" i="17"/>
  <c r="J40" i="17" s="1"/>
  <c r="J54" i="17" s="1"/>
  <c r="L8" i="16"/>
  <c r="L26" i="16" s="1"/>
  <c r="F6" i="18"/>
  <c r="N6" i="4"/>
  <c r="I24" i="4"/>
  <c r="I17" i="8" s="1"/>
  <c r="F13" i="28" s="1"/>
  <c r="K24" i="4"/>
  <c r="K17" i="8" s="1"/>
  <c r="H13" i="28" s="1"/>
  <c r="I29" i="4"/>
  <c r="L11" i="8"/>
  <c r="E13" i="10"/>
  <c r="K29" i="4"/>
  <c r="K16" i="16" s="1"/>
  <c r="K29" i="8"/>
  <c r="L29" i="4"/>
  <c r="L16" i="16" s="1"/>
  <c r="L25" i="8"/>
  <c r="I22" i="28" s="1"/>
  <c r="E14" i="10"/>
  <c r="L24" i="4"/>
  <c r="L17" i="8" s="1"/>
  <c r="I13" i="28" s="1"/>
  <c r="L29" i="8"/>
  <c r="J29" i="4"/>
  <c r="J16" i="16" s="1"/>
  <c r="E11" i="10"/>
  <c r="E16" i="10"/>
  <c r="H36" i="17"/>
  <c r="J14" i="16"/>
  <c r="D20" i="10"/>
  <c r="E9" i="10"/>
  <c r="K11" i="8"/>
  <c r="F8" i="18"/>
  <c r="J36" i="17"/>
  <c r="J38" i="17" s="1"/>
  <c r="L14" i="16"/>
  <c r="I11" i="8"/>
  <c r="G36" i="17"/>
  <c r="I14" i="16"/>
  <c r="J11" i="8"/>
  <c r="E17" i="10"/>
  <c r="D22" i="10"/>
  <c r="E10" i="10"/>
  <c r="J24" i="4"/>
  <c r="J17" i="8" s="1"/>
  <c r="G13" i="28" s="1"/>
  <c r="I29" i="8"/>
  <c r="J25" i="8"/>
  <c r="G22" i="28" s="1"/>
  <c r="K14" i="16"/>
  <c r="I36" i="17"/>
  <c r="E12" i="10"/>
  <c r="D18" i="10"/>
  <c r="E18" i="10" s="1"/>
  <c r="D19" i="10"/>
  <c r="D21" i="10"/>
  <c r="M47" i="4"/>
  <c r="M45" i="4"/>
  <c r="O40" i="8"/>
  <c r="N40" i="8"/>
  <c r="N41" i="8"/>
  <c r="O41" i="8"/>
  <c r="I43" i="8"/>
  <c r="P43" i="8" s="1"/>
  <c r="M42" i="4"/>
  <c r="M30" i="4"/>
  <c r="O23" i="4" l="1"/>
  <c r="H8" i="18" s="1"/>
  <c r="O84" i="4"/>
  <c r="P84" i="4" s="1"/>
  <c r="O33" i="4"/>
  <c r="N122" i="4"/>
  <c r="O70" i="4"/>
  <c r="Q118" i="4"/>
  <c r="Q27" i="4"/>
  <c r="Q18" i="4"/>
  <c r="Q36" i="4"/>
  <c r="Q39" i="4"/>
  <c r="Q21" i="4"/>
  <c r="P14" i="4"/>
  <c r="P15" i="4" s="1"/>
  <c r="Q11" i="4"/>
  <c r="Q33" i="4" s="1"/>
  <c r="R118" i="4"/>
  <c r="R11" i="4"/>
  <c r="R33" i="4" s="1"/>
  <c r="R39" i="4"/>
  <c r="R18" i="4"/>
  <c r="R27" i="4"/>
  <c r="R21" i="4"/>
  <c r="R36" i="4"/>
  <c r="M115" i="4"/>
  <c r="Q122" i="4"/>
  <c r="P15" i="8"/>
  <c r="I41" i="4"/>
  <c r="I47" i="4" s="1"/>
  <c r="I8" i="10" a="1"/>
  <c r="N15" i="8"/>
  <c r="O15" i="8"/>
  <c r="P25" i="8"/>
  <c r="I30" i="4"/>
  <c r="I16" i="8" s="1"/>
  <c r="F12" i="28" s="1"/>
  <c r="I16" i="16"/>
  <c r="I10" i="8"/>
  <c r="P17" i="8"/>
  <c r="L10" i="8"/>
  <c r="G6" i="18"/>
  <c r="O6" i="4"/>
  <c r="E22" i="10"/>
  <c r="O17" i="8"/>
  <c r="P29" i="8"/>
  <c r="P11" i="8"/>
  <c r="L41" i="4"/>
  <c r="L47" i="4" s="1"/>
  <c r="L30" i="4"/>
  <c r="L16" i="8" s="1"/>
  <c r="I12" i="28" s="1"/>
  <c r="K30" i="4"/>
  <c r="K16" i="8" s="1"/>
  <c r="H12" i="28" s="1"/>
  <c r="E20" i="10"/>
  <c r="K41" i="4"/>
  <c r="K20" i="16" s="1"/>
  <c r="J41" i="4"/>
  <c r="J45" i="4" s="1"/>
  <c r="K10" i="8"/>
  <c r="O11" i="8"/>
  <c r="N25" i="8"/>
  <c r="N29" i="8"/>
  <c r="N11" i="8"/>
  <c r="J30" i="4"/>
  <c r="J16" i="8" s="1"/>
  <c r="G12" i="28" s="1"/>
  <c r="J10" i="8"/>
  <c r="M52" i="4"/>
  <c r="M56" i="4" s="1"/>
  <c r="M58" i="4" s="1"/>
  <c r="E21" i="10"/>
  <c r="O25" i="8"/>
  <c r="E19" i="10"/>
  <c r="J57" i="17"/>
  <c r="J45" i="17"/>
  <c r="J49" i="17" s="1"/>
  <c r="J56" i="17" s="1"/>
  <c r="M48" i="4"/>
  <c r="O29" i="8"/>
  <c r="N17" i="8"/>
  <c r="O29" i="4"/>
  <c r="O24" i="4"/>
  <c r="G45" i="17"/>
  <c r="G49" i="17" s="1"/>
  <c r="G38" i="17"/>
  <c r="G57" i="17" s="1"/>
  <c r="H45" i="17"/>
  <c r="H49" i="17" s="1"/>
  <c r="H56" i="17" s="1"/>
  <c r="H38" i="17"/>
  <c r="H57" i="17" s="1"/>
  <c r="I45" i="17"/>
  <c r="I49" i="17" s="1"/>
  <c r="I56" i="17" s="1"/>
  <c r="I38" i="17"/>
  <c r="I57" i="17" s="1"/>
  <c r="O43" i="8"/>
  <c r="N43" i="8"/>
  <c r="P23" i="4" l="1"/>
  <c r="I8" i="18" s="1"/>
  <c r="P122" i="4"/>
  <c r="O122" i="4"/>
  <c r="Q14" i="4"/>
  <c r="Q23" i="4" s="1"/>
  <c r="Q84" i="4"/>
  <c r="R84" i="4" s="1"/>
  <c r="R14" i="4"/>
  <c r="M126" i="4"/>
  <c r="M148" i="4" s="1"/>
  <c r="L20" i="16"/>
  <c r="L52" i="4"/>
  <c r="L45" i="4"/>
  <c r="R70" i="4"/>
  <c r="R122" i="4" s="1"/>
  <c r="I20" i="16"/>
  <c r="I45" i="4"/>
  <c r="I42" i="4"/>
  <c r="I18" i="8" s="1"/>
  <c r="L22" i="16"/>
  <c r="L27" i="8"/>
  <c r="I21" i="28" s="1"/>
  <c r="K47" i="26"/>
  <c r="K41" i="26"/>
  <c r="K43" i="26" s="1"/>
  <c r="I8" i="10"/>
  <c r="I11" i="10"/>
  <c r="I15" i="10"/>
  <c r="I14" i="10"/>
  <c r="I13" i="10"/>
  <c r="I10" i="10"/>
  <c r="I16" i="10"/>
  <c r="I17" i="10"/>
  <c r="I9" i="10"/>
  <c r="I12" i="10"/>
  <c r="J12" i="10" s="1"/>
  <c r="I27" i="8"/>
  <c r="F21" i="28" s="1"/>
  <c r="H41" i="26"/>
  <c r="H43" i="26" s="1"/>
  <c r="H47" i="26"/>
  <c r="P10" i="8"/>
  <c r="P16" i="8"/>
  <c r="N10" i="8"/>
  <c r="J20" i="16"/>
  <c r="L48" i="4"/>
  <c r="L19" i="8" s="1"/>
  <c r="I15" i="28" s="1"/>
  <c r="L42" i="4"/>
  <c r="L18" i="8" s="1"/>
  <c r="K42" i="4"/>
  <c r="K18" i="8" s="1"/>
  <c r="P6" i="4"/>
  <c r="H6" i="18"/>
  <c r="L115" i="4"/>
  <c r="L126" i="4" s="1"/>
  <c r="L148" i="4" s="1"/>
  <c r="L150" i="4" s="1"/>
  <c r="L152" i="4" s="1"/>
  <c r="J42" i="4"/>
  <c r="J18" i="8" s="1"/>
  <c r="J47" i="4"/>
  <c r="N16" i="8"/>
  <c r="K45" i="4"/>
  <c r="K47" i="4"/>
  <c r="K115" i="4" s="1"/>
  <c r="K126" i="4" s="1"/>
  <c r="K47" i="8" s="1"/>
  <c r="H25" i="28" s="1"/>
  <c r="O16" i="8"/>
  <c r="O10" i="8"/>
  <c r="I59" i="17"/>
  <c r="J59" i="17"/>
  <c r="O41" i="4"/>
  <c r="O30" i="4"/>
  <c r="H59" i="17"/>
  <c r="J51" i="17"/>
  <c r="G56" i="17"/>
  <c r="G59" i="17" s="1"/>
  <c r="J52" i="17"/>
  <c r="I52" i="4"/>
  <c r="I22" i="16"/>
  <c r="L56" i="4"/>
  <c r="L58" i="4" s="1"/>
  <c r="L26" i="8" s="1"/>
  <c r="L28" i="8" s="1"/>
  <c r="I115" i="4"/>
  <c r="I126" i="4" s="1"/>
  <c r="I48" i="8" s="1"/>
  <c r="I48" i="4"/>
  <c r="I19" i="8" s="1"/>
  <c r="F15" i="28" s="1"/>
  <c r="I12" i="8"/>
  <c r="P29" i="4" l="1"/>
  <c r="P41" i="4" s="1"/>
  <c r="P44" i="4" s="1"/>
  <c r="P47" i="4" s="1"/>
  <c r="P52" i="4" s="1"/>
  <c r="P24" i="4"/>
  <c r="Q15" i="4"/>
  <c r="J8" i="18"/>
  <c r="Q29" i="4"/>
  <c r="Q24" i="4"/>
  <c r="R15" i="4"/>
  <c r="R23" i="4"/>
  <c r="I16" i="28"/>
  <c r="M53" i="4"/>
  <c r="J14" i="10"/>
  <c r="J15" i="10"/>
  <c r="F16" i="28"/>
  <c r="J22" i="16"/>
  <c r="I47" i="26"/>
  <c r="J27" i="8"/>
  <c r="G21" i="28" s="1"/>
  <c r="I41" i="26"/>
  <c r="I43" i="26" s="1"/>
  <c r="J115" i="4"/>
  <c r="J126" i="4" s="1"/>
  <c r="J148" i="4" s="1"/>
  <c r="J150" i="4" s="1"/>
  <c r="J152" i="4" s="1"/>
  <c r="J47" i="26"/>
  <c r="K27" i="8"/>
  <c r="H21" i="28" s="1"/>
  <c r="J41" i="26"/>
  <c r="J43" i="26" s="1"/>
  <c r="H63" i="26"/>
  <c r="H49" i="26"/>
  <c r="H59" i="26" s="1"/>
  <c r="J16" i="10"/>
  <c r="K49" i="26"/>
  <c r="K63" i="26"/>
  <c r="K69" i="26" s="1"/>
  <c r="K71" i="26" s="1"/>
  <c r="I23" i="28"/>
  <c r="I18" i="28"/>
  <c r="O18" i="8"/>
  <c r="K22" i="16"/>
  <c r="J11" i="10"/>
  <c r="J48" i="4"/>
  <c r="J19" i="8" s="1"/>
  <c r="G15" i="28" s="1"/>
  <c r="J12" i="8"/>
  <c r="J17" i="10"/>
  <c r="N18" i="8"/>
  <c r="P18" i="8"/>
  <c r="Q6" i="4"/>
  <c r="I6" i="18"/>
  <c r="L46" i="8"/>
  <c r="J52" i="4"/>
  <c r="L48" i="8"/>
  <c r="K52" i="4"/>
  <c r="J10" i="10"/>
  <c r="I21" i="10"/>
  <c r="K48" i="4"/>
  <c r="K19" i="8" s="1"/>
  <c r="H15" i="28" s="1"/>
  <c r="I18" i="10"/>
  <c r="J18" i="10" s="1"/>
  <c r="K12" i="8"/>
  <c r="J13" i="10"/>
  <c r="I20" i="10"/>
  <c r="L12" i="8"/>
  <c r="I22" i="10"/>
  <c r="I19" i="10"/>
  <c r="J9" i="10"/>
  <c r="I56" i="4"/>
  <c r="I58" i="4" s="1"/>
  <c r="I26" i="8" s="1"/>
  <c r="I53" i="4"/>
  <c r="J61" i="17"/>
  <c r="J62" i="17"/>
  <c r="O42" i="4"/>
  <c r="O44" i="4"/>
  <c r="O47" i="4" s="1"/>
  <c r="O52" i="4" s="1"/>
  <c r="I47" i="8"/>
  <c r="F25" i="28" s="1"/>
  <c r="I46" i="8"/>
  <c r="I148" i="4"/>
  <c r="I150" i="4" s="1"/>
  <c r="I152" i="4" s="1"/>
  <c r="K148" i="4"/>
  <c r="K150" i="4" s="1"/>
  <c r="K152" i="4" s="1"/>
  <c r="K48" i="8"/>
  <c r="K46" i="8"/>
  <c r="P30" i="4" l="1"/>
  <c r="P42" i="4"/>
  <c r="P53" i="4"/>
  <c r="K8" i="18"/>
  <c r="R29" i="4"/>
  <c r="R24" i="4"/>
  <c r="Q41" i="4"/>
  <c r="Q30" i="4"/>
  <c r="P27" i="8"/>
  <c r="O27" i="8"/>
  <c r="J49" i="26"/>
  <c r="J59" i="26" s="1"/>
  <c r="J63" i="26"/>
  <c r="J48" i="8"/>
  <c r="P48" i="8" s="1"/>
  <c r="J56" i="4"/>
  <c r="J58" i="4" s="1"/>
  <c r="J26" i="8" s="1"/>
  <c r="J28" i="8" s="1"/>
  <c r="G16" i="28"/>
  <c r="P48" i="4"/>
  <c r="P115" i="4"/>
  <c r="J46" i="8"/>
  <c r="P46" i="8" s="1"/>
  <c r="I63" i="26"/>
  <c r="I49" i="26"/>
  <c r="I59" i="26" s="1"/>
  <c r="K56" i="4"/>
  <c r="K58" i="4" s="1"/>
  <c r="K26" i="8" s="1"/>
  <c r="K28" i="8" s="1"/>
  <c r="H16" i="28"/>
  <c r="O48" i="4"/>
  <c r="O115" i="4"/>
  <c r="J47" i="8"/>
  <c r="G25" i="28" s="1"/>
  <c r="H69" i="26"/>
  <c r="H71" i="26" s="1"/>
  <c r="H77" i="26" s="1"/>
  <c r="H65" i="26"/>
  <c r="N8" i="10" a="1"/>
  <c r="P19" i="8"/>
  <c r="N27" i="8"/>
  <c r="L53" i="4"/>
  <c r="P12" i="8"/>
  <c r="N19" i="8"/>
  <c r="O56" i="4"/>
  <c r="O19" i="8"/>
  <c r="I28" i="8"/>
  <c r="F18" i="28" s="1"/>
  <c r="J19" i="10"/>
  <c r="J22" i="10"/>
  <c r="J53" i="4"/>
  <c r="K53" i="4"/>
  <c r="J21" i="10"/>
  <c r="R6" i="4"/>
  <c r="K6" i="18" s="1"/>
  <c r="J6" i="18"/>
  <c r="O12" i="8"/>
  <c r="J20" i="10"/>
  <c r="N12" i="8"/>
  <c r="N48" i="8"/>
  <c r="P56" i="4"/>
  <c r="P58" i="4" s="1"/>
  <c r="O26" i="8" l="1"/>
  <c r="Q44" i="4"/>
  <c r="Q47" i="4" s="1"/>
  <c r="Q52" i="4" s="1"/>
  <c r="Q42" i="4"/>
  <c r="R30" i="4"/>
  <c r="R41" i="4"/>
  <c r="O58" i="4"/>
  <c r="N46" i="8"/>
  <c r="O48" i="8"/>
  <c r="G23" i="28"/>
  <c r="G18" i="28"/>
  <c r="O46" i="8"/>
  <c r="H23" i="28"/>
  <c r="H18" i="28"/>
  <c r="P26" i="8"/>
  <c r="N13" i="10"/>
  <c r="N11" i="10"/>
  <c r="N10" i="10"/>
  <c r="N14" i="10"/>
  <c r="N15" i="10"/>
  <c r="N8" i="10"/>
  <c r="N12" i="10"/>
  <c r="N16" i="10"/>
  <c r="N17" i="10"/>
  <c r="N9" i="10"/>
  <c r="J69" i="26"/>
  <c r="J71" i="26" s="1"/>
  <c r="J77" i="26" s="1"/>
  <c r="J65" i="26"/>
  <c r="N26" i="8"/>
  <c r="I69" i="26"/>
  <c r="I71" i="26" s="1"/>
  <c r="I77" i="26" s="1"/>
  <c r="I65" i="26"/>
  <c r="P28" i="8"/>
  <c r="F23" i="28"/>
  <c r="N28" i="8"/>
  <c r="O28" i="8"/>
  <c r="Q53" i="4" l="1"/>
  <c r="Q56" i="4"/>
  <c r="Q58" i="4" s="1"/>
  <c r="R42" i="4"/>
  <c r="R44" i="4"/>
  <c r="R47" i="4" s="1"/>
  <c r="R52" i="4" s="1"/>
  <c r="Q48" i="4"/>
  <c r="Q115" i="4"/>
  <c r="O17" i="10"/>
  <c r="O13" i="10"/>
  <c r="O16" i="10"/>
  <c r="O12" i="10"/>
  <c r="O11" i="10"/>
  <c r="O15" i="10"/>
  <c r="O9" i="10"/>
  <c r="N21" i="10"/>
  <c r="N18" i="10"/>
  <c r="O18" i="10" s="1"/>
  <c r="N19" i="10"/>
  <c r="O10" i="10"/>
  <c r="O14" i="10"/>
  <c r="N20" i="10"/>
  <c r="N22" i="10"/>
  <c r="R53" i="4" l="1"/>
  <c r="R56" i="4"/>
  <c r="R58" i="4" s="1"/>
  <c r="R48" i="4"/>
  <c r="R115" i="4"/>
  <c r="O20" i="10"/>
  <c r="O19" i="10"/>
  <c r="O22" i="10"/>
  <c r="O21" i="10"/>
  <c r="N123" i="4" l="1"/>
  <c r="N14" i="4"/>
  <c r="N15" i="4" s="1"/>
  <c r="N39" i="4"/>
  <c r="N75" i="4" s="1"/>
  <c r="N18" i="4"/>
  <c r="N21" i="4"/>
  <c r="N36" i="4"/>
  <c r="N27" i="4"/>
  <c r="O75" i="4" l="1"/>
  <c r="N76" i="4"/>
  <c r="O123" i="4"/>
  <c r="O126" i="4" s="1"/>
  <c r="O148" i="4" s="1"/>
  <c r="N23" i="4"/>
  <c r="G8" i="18" s="1"/>
  <c r="P71" i="4"/>
  <c r="P125" i="4" s="1"/>
  <c r="N81" i="4" l="1"/>
  <c r="Q71" i="4"/>
  <c r="Q125" i="4" s="1"/>
  <c r="P75" i="4"/>
  <c r="O76" i="4"/>
  <c r="P67" i="4"/>
  <c r="P121" i="4" s="1"/>
  <c r="N90" i="4"/>
  <c r="N98" i="4" s="1"/>
  <c r="N29" i="4"/>
  <c r="N24" i="4"/>
  <c r="P123" i="4"/>
  <c r="O90" i="4"/>
  <c r="O98" i="4" s="1"/>
  <c r="P126" i="4" l="1"/>
  <c r="P148" i="4" s="1"/>
  <c r="Q75" i="4"/>
  <c r="P76" i="4"/>
  <c r="R71" i="4"/>
  <c r="R125" i="4" s="1"/>
  <c r="O81" i="4"/>
  <c r="Q67" i="4"/>
  <c r="Q121" i="4" s="1"/>
  <c r="P90" i="4"/>
  <c r="P98" i="4" s="1"/>
  <c r="Q123" i="4"/>
  <c r="N41" i="4"/>
  <c r="N44" i="4" s="1"/>
  <c r="N30" i="4"/>
  <c r="Q126" i="4" l="1"/>
  <c r="Q148" i="4" s="1"/>
  <c r="P81" i="4"/>
  <c r="R75" i="4"/>
  <c r="R76" i="4" s="1"/>
  <c r="R81" i="4" s="1"/>
  <c r="Q76" i="4"/>
  <c r="N42" i="4"/>
  <c r="N47" i="4"/>
  <c r="N52" i="4" s="1"/>
  <c r="R67" i="4"/>
  <c r="R121" i="4" s="1"/>
  <c r="Q90" i="4"/>
  <c r="Q98" i="4" s="1"/>
  <c r="R123" i="4"/>
  <c r="N56" i="4" l="1"/>
  <c r="N58" i="4" s="1"/>
  <c r="N53" i="4"/>
  <c r="O53" i="4"/>
  <c r="N105" i="4"/>
  <c r="R126" i="4"/>
  <c r="R148" i="4" s="1"/>
  <c r="Q81" i="4"/>
  <c r="R90" i="4"/>
  <c r="R98" i="4" s="1"/>
  <c r="N48" i="4"/>
  <c r="N115" i="4"/>
  <c r="N126" i="4" s="1"/>
  <c r="N148" i="4" s="1"/>
  <c r="O105" i="4" l="1"/>
  <c r="O106" i="4" s="1"/>
  <c r="O107" i="4" s="1"/>
  <c r="N150" i="4"/>
  <c r="R72" i="4"/>
  <c r="E36" i="18"/>
  <c r="M149" i="4"/>
  <c r="M150" i="4" s="1"/>
  <c r="L72" i="4"/>
  <c r="L82" i="4" s="1"/>
  <c r="R82" i="4" l="1"/>
  <c r="K12" i="18"/>
  <c r="K14" i="18" s="1"/>
  <c r="P105" i="4"/>
  <c r="P106" i="4" s="1"/>
  <c r="P107" i="4" s="1"/>
  <c r="O72" i="4"/>
  <c r="P150" i="4"/>
  <c r="Q72" i="4"/>
  <c r="R150" i="4"/>
  <c r="P72" i="4"/>
  <c r="Q150" i="4"/>
  <c r="L57" i="16"/>
  <c r="L46" i="16"/>
  <c r="L32" i="16"/>
  <c r="L45" i="16"/>
  <c r="L55" i="16"/>
  <c r="L29" i="16"/>
  <c r="L27" i="16"/>
  <c r="L51" i="16"/>
  <c r="L40" i="16"/>
  <c r="L109" i="4"/>
  <c r="L41" i="16"/>
  <c r="L56" i="16"/>
  <c r="L31" i="16"/>
  <c r="L39" i="16"/>
  <c r="L28" i="16"/>
  <c r="L38" i="16"/>
  <c r="L36" i="16"/>
  <c r="K52" i="26"/>
  <c r="L37" i="16"/>
  <c r="L47" i="16"/>
  <c r="L43" i="16"/>
  <c r="L30" i="16"/>
  <c r="L48" i="16"/>
  <c r="L47" i="8"/>
  <c r="L52" i="16"/>
  <c r="L35" i="16"/>
  <c r="L44" i="16"/>
  <c r="L49" i="16"/>
  <c r="L33" i="16"/>
  <c r="Q82" i="4" l="1"/>
  <c r="J12" i="18"/>
  <c r="J14" i="18" s="1"/>
  <c r="J17" i="18" s="1"/>
  <c r="E25" i="18"/>
  <c r="E28" i="18" s="1"/>
  <c r="E33" i="18" s="1"/>
  <c r="K17" i="18"/>
  <c r="P82" i="4"/>
  <c r="I12" i="18"/>
  <c r="I14" i="18" s="1"/>
  <c r="I17" i="18" s="1"/>
  <c r="O82" i="4"/>
  <c r="R105" i="4"/>
  <c r="R106" i="4" s="1"/>
  <c r="R107" i="4" s="1"/>
  <c r="Q105" i="4"/>
  <c r="Q106" i="4" s="1"/>
  <c r="Q107" i="4" s="1"/>
  <c r="K55" i="26"/>
  <c r="K53" i="26"/>
  <c r="I25" i="28"/>
  <c r="P47" i="8"/>
  <c r="O47" i="8"/>
  <c r="N47" i="8"/>
  <c r="K64" i="26" l="1"/>
  <c r="K57" i="26"/>
  <c r="K59" i="26" s="1"/>
  <c r="K65" i="26" l="1"/>
  <c r="K74" i="26"/>
  <c r="K75" i="26" s="1"/>
  <c r="K77" i="26" s="1"/>
  <c r="M152" i="4"/>
  <c r="M72" i="4" l="1"/>
  <c r="M82" i="4" s="1"/>
  <c r="M109" i="4" s="1"/>
  <c r="N106" i="4"/>
  <c r="N107" i="4" s="1"/>
  <c r="O150" i="4" l="1"/>
  <c r="N72" i="4"/>
  <c r="N82" i="4" l="1"/>
  <c r="G12" i="18"/>
  <c r="G14" i="18" s="1"/>
  <c r="G17" i="18" s="1"/>
  <c r="H12" i="18"/>
  <c r="H14" i="18" s="1"/>
  <c r="H17" i="18" s="1"/>
  <c r="E32" i="18" l="1"/>
  <c r="E34" i="18" s="1"/>
  <c r="G31" i="18" l="1"/>
  <c r="E38" i="18"/>
  <c r="E40" i="18" s="1"/>
  <c r="M24" i="28" l="1"/>
  <c r="E43" i="18"/>
</calcChain>
</file>

<file path=xl/sharedStrings.xml><?xml version="1.0" encoding="utf-8"?>
<sst xmlns="http://schemas.openxmlformats.org/spreadsheetml/2006/main" count="1572" uniqueCount="592">
  <si>
    <t>Revenue</t>
  </si>
  <si>
    <t>COGS</t>
  </si>
  <si>
    <t>Gross Profit</t>
  </si>
  <si>
    <t>EBITDA</t>
  </si>
  <si>
    <t>EBT</t>
  </si>
  <si>
    <t>Net Income</t>
  </si>
  <si>
    <t>NA</t>
  </si>
  <si>
    <t>Apple</t>
  </si>
  <si>
    <t>#</t>
  </si>
  <si>
    <t>Sales</t>
  </si>
  <si>
    <t>Apple Inc. (NasdaqGS:AAPL) &gt; Financials &gt; Income Statement</t>
  </si>
  <si>
    <t>In Millions of the reported currency, except per share items.</t>
  </si>
  <si>
    <t>Template:</t>
  </si>
  <si>
    <t>Standard</t>
  </si>
  <si>
    <t> </t>
  </si>
  <si>
    <t>Restatement:</t>
  </si>
  <si>
    <t>Latest Filings</t>
  </si>
  <si>
    <t>Period Type:</t>
  </si>
  <si>
    <t>Annual</t>
  </si>
  <si>
    <t>Order:</t>
  </si>
  <si>
    <t>Latest on Right</t>
  </si>
  <si>
    <t>Currency:</t>
  </si>
  <si>
    <t>Reported Currency</t>
  </si>
  <si>
    <t>Conversion:</t>
  </si>
  <si>
    <t>Historical</t>
  </si>
  <si>
    <t>Units:</t>
  </si>
  <si>
    <t>S&amp;P Capital IQ (Default)</t>
  </si>
  <si>
    <t>Decimals:</t>
  </si>
  <si>
    <t>Capital IQ (Default)</t>
  </si>
  <si>
    <t>Source:</t>
  </si>
  <si>
    <t>Capital IQ &amp; Proprietary Data</t>
  </si>
  <si>
    <t>Income Statement</t>
  </si>
  <si>
    <t xml:space="preserve">For the Fiscal Period Ending
</t>
  </si>
  <si>
    <t>12 months
Sep-28-2019</t>
  </si>
  <si>
    <t>12 months
Sep-26-2020</t>
  </si>
  <si>
    <t>12 months
Sep-25-2021</t>
  </si>
  <si>
    <t>12 months
Sep-24-2022</t>
  </si>
  <si>
    <t>12 months
Sep-30-2023</t>
  </si>
  <si>
    <t>LTM
12 months
Dec-30-2023</t>
  </si>
  <si>
    <t>Currency</t>
  </si>
  <si>
    <t>USD</t>
  </si>
  <si>
    <t xml:space="preserve"> </t>
  </si>
  <si>
    <t>Other Revenue</t>
  </si>
  <si>
    <t>-</t>
  </si>
  <si>
    <t xml:space="preserve">  Total Revenue</t>
  </si>
  <si>
    <t>Cost Of Goods Sold</t>
  </si>
  <si>
    <t xml:space="preserve">  Gross Profit</t>
  </si>
  <si>
    <t>Selling General &amp; Admin Exp.</t>
  </si>
  <si>
    <t>R &amp; D Exp.</t>
  </si>
  <si>
    <t>Depreciation &amp; Amort.</t>
  </si>
  <si>
    <t>Other Operating Expense/(Income)</t>
  </si>
  <si>
    <t xml:space="preserve">  Other Operating Exp., Total</t>
  </si>
  <si>
    <t xml:space="preserve">  Operating Income</t>
  </si>
  <si>
    <t>Interest Expense</t>
  </si>
  <si>
    <t>Interest and Invest. Income</t>
  </si>
  <si>
    <t xml:space="preserve">  Net Interest Exp.</t>
  </si>
  <si>
    <t>Other Non-Operating Inc. (Exp.)</t>
  </si>
  <si>
    <t xml:space="preserve">  EBT Excl. Unusual Items</t>
  </si>
  <si>
    <t>Impairment of Goodwill</t>
  </si>
  <si>
    <t>Other Unusual Items</t>
  </si>
  <si>
    <t xml:space="preserve">  EBT Incl. Unusual Items</t>
  </si>
  <si>
    <t>Income Tax Expense</t>
  </si>
  <si>
    <t xml:space="preserve">  Earnings from Cont. Ops.</t>
  </si>
  <si>
    <t>Earnings of Discontinued Ops.</t>
  </si>
  <si>
    <t>Extraord. Item &amp; Account. Change</t>
  </si>
  <si>
    <t xml:space="preserve">  Net Income to Company</t>
  </si>
  <si>
    <t>Minority Int. in Earnings</t>
  </si>
  <si>
    <t xml:space="preserve">  Net Income</t>
  </si>
  <si>
    <t>Pref. Dividends and Other Adj.</t>
  </si>
  <si>
    <t xml:space="preserve">  NI to Common Incl Extra Items</t>
  </si>
  <si>
    <t xml:space="preserve">  NI to Common Excl. Extra Items</t>
  </si>
  <si>
    <t>Per Share Items</t>
  </si>
  <si>
    <t>Basic EPS</t>
  </si>
  <si>
    <t>Basic EPS Excl. Extra Items</t>
  </si>
  <si>
    <t>Weighted Avg. Basic Shares Out.</t>
  </si>
  <si>
    <t>Diluted EPS</t>
  </si>
  <si>
    <t>Diluted EPS Excl. Extra Items</t>
  </si>
  <si>
    <t>Weighted Avg. Diluted Shares Out.</t>
  </si>
  <si>
    <t>Normalized Basic EPS</t>
  </si>
  <si>
    <t>Normalized Diluted EPS</t>
  </si>
  <si>
    <t>Dividends per Share</t>
  </si>
  <si>
    <t>Payout Ratio %</t>
  </si>
  <si>
    <t>Shares per Depository Receipt</t>
  </si>
  <si>
    <t>Supplemental Items</t>
  </si>
  <si>
    <t>EBITA</t>
  </si>
  <si>
    <t>EBIT</t>
  </si>
  <si>
    <t>EBITDAR</t>
  </si>
  <si>
    <t>As Reported Total Revenue*</t>
  </si>
  <si>
    <t>Effective Tax Rate %</t>
  </si>
  <si>
    <t>Current Domestic Taxes</t>
  </si>
  <si>
    <t>Current Foreign Taxes</t>
  </si>
  <si>
    <t>Total Current Taxes</t>
  </si>
  <si>
    <t>Deferred Domestic Taxes</t>
  </si>
  <si>
    <t>Deferred Foreign Taxes</t>
  </si>
  <si>
    <t>Total Deferred Taxes</t>
  </si>
  <si>
    <t>Normalized Net Income</t>
  </si>
  <si>
    <t>Interest on Long Term Debt</t>
  </si>
  <si>
    <t>Filing Date</t>
  </si>
  <si>
    <t>Restatement Type</t>
  </si>
  <si>
    <t>NC</t>
  </si>
  <si>
    <t>O</t>
  </si>
  <si>
    <t>Calculation Type</t>
  </si>
  <si>
    <t>REP</t>
  </si>
  <si>
    <t>LTM</t>
  </si>
  <si>
    <t>Supplemental Operating Expense Items</t>
  </si>
  <si>
    <t>R&amp;D Exp.</t>
  </si>
  <si>
    <t>Net Rental Exp.</t>
  </si>
  <si>
    <t>Imputed Oper. Lease Interest Exp.</t>
  </si>
  <si>
    <t>Imputed Oper. Lease Depreciation</t>
  </si>
  <si>
    <t>Stock-Based Comp., Unallocated</t>
  </si>
  <si>
    <t xml:space="preserve">  Stock-Based Comp., Total</t>
  </si>
  <si>
    <t>* Occasionally, certain items classified as Revenue by the company will be re-classified as other income if it is deemed to be non-recurring and unrelated to the core business of the firm. This field shows Total Revenue exactly as reported by the firm on its consolidated statement of income.</t>
  </si>
  <si>
    <t>Note: For multiple class companies, per share items are primary class equivalent, and for foreign companies listed as primary ADRs, per share items are ADR-equivalent.</t>
  </si>
  <si>
    <t xml:space="preserve">
               </t>
  </si>
  <si>
    <t>Apple Inc. (NasdaqGS:AAPL) &gt; Financials &gt; Cash Flow</t>
  </si>
  <si>
    <t>Cash Flow</t>
  </si>
  <si>
    <t>Depreciation &amp; Amort., Total</t>
  </si>
  <si>
    <t>Stock-Based Compensation</t>
  </si>
  <si>
    <t>Other Operating Activities</t>
  </si>
  <si>
    <t>Change in Acc. Receivable</t>
  </si>
  <si>
    <t>Change In Inventories</t>
  </si>
  <si>
    <t>Change in Acc. Payable</t>
  </si>
  <si>
    <t>Change in Unearned Rev.</t>
  </si>
  <si>
    <t>Change in Other Net Operating Assets</t>
  </si>
  <si>
    <t xml:space="preserve">  Cash from Ops.</t>
  </si>
  <si>
    <t>Capital Expenditure</t>
  </si>
  <si>
    <t>Cash Acquisitions</t>
  </si>
  <si>
    <t>Divestitures</t>
  </si>
  <si>
    <t>Invest. in Marketable &amp; Equity Securt.</t>
  </si>
  <si>
    <t>Net (Inc.) Dec. in Loans Originated/Sold</t>
  </si>
  <si>
    <t>Other Investing Activities</t>
  </si>
  <si>
    <t xml:space="preserve">  Cash from Investing</t>
  </si>
  <si>
    <t>Short Term Debt Issued</t>
  </si>
  <si>
    <t>Long-Term Debt Issued</t>
  </si>
  <si>
    <t>Short Term Debt Repaid</t>
  </si>
  <si>
    <t>Long-Term Debt Repaid</t>
  </si>
  <si>
    <t>Issuance of Common Stock</t>
  </si>
  <si>
    <t>Repurchase of Common Stock</t>
  </si>
  <si>
    <t>Common Dividends Paid</t>
  </si>
  <si>
    <t>Special Dividend Paid</t>
  </si>
  <si>
    <t>Other Financing Activities</t>
  </si>
  <si>
    <t xml:space="preserve">  Cash from Financing</t>
  </si>
  <si>
    <t xml:space="preserve">  Net Change in Cash</t>
  </si>
  <si>
    <t>Cash Interest Paid</t>
  </si>
  <si>
    <t>Cash Taxes Paid</t>
  </si>
  <si>
    <t>Levered Free Cash Flow</t>
  </si>
  <si>
    <t>Unlevered Free Cash Flow</t>
  </si>
  <si>
    <t>Change in Net Working Capital</t>
  </si>
  <si>
    <t>Net Debt Issued</t>
  </si>
  <si>
    <t>Apple Inc. (NasdaqGS:AAPL) &gt; Financials &gt; Balance Sheet</t>
  </si>
  <si>
    <t>Balance Sheet</t>
  </si>
  <si>
    <t xml:space="preserve">Balance Sheet as of:
</t>
  </si>
  <si>
    <t>ASSETS</t>
  </si>
  <si>
    <t>Cash And Equivalents</t>
  </si>
  <si>
    <t>Short Term Investments</t>
  </si>
  <si>
    <t xml:space="preserve">  Total Cash &amp; ST Investments</t>
  </si>
  <si>
    <t>Accounts Receivable</t>
  </si>
  <si>
    <t>Other Receivables</t>
  </si>
  <si>
    <t xml:space="preserve">  Total Receivables</t>
  </si>
  <si>
    <t>Inventory</t>
  </si>
  <si>
    <t>Restricted Cash</t>
  </si>
  <si>
    <t>Other Current Assets</t>
  </si>
  <si>
    <t xml:space="preserve">  Total Current Assets</t>
  </si>
  <si>
    <t>Gross Property, Plant &amp; Equipment</t>
  </si>
  <si>
    <t>Accumulated Depreciation</t>
  </si>
  <si>
    <t xml:space="preserve">  Net Property, Plant &amp; Equipment</t>
  </si>
  <si>
    <t>Long-term Investments</t>
  </si>
  <si>
    <t>Other Long-Term Assets</t>
  </si>
  <si>
    <t>Total Assets</t>
  </si>
  <si>
    <t>LIABILITIES</t>
  </si>
  <si>
    <t>Accounts Payable</t>
  </si>
  <si>
    <t>Short-term Borrowings</t>
  </si>
  <si>
    <t>Curr. Port. of LT Debt</t>
  </si>
  <si>
    <t>Curr. Port. of Leases</t>
  </si>
  <si>
    <t>Unearned Revenue, Current</t>
  </si>
  <si>
    <t>Other Current Liabilities</t>
  </si>
  <si>
    <t xml:space="preserve">  Total Current Liabilities</t>
  </si>
  <si>
    <t>Long-Term Debt</t>
  </si>
  <si>
    <t>Long-Term Leases</t>
  </si>
  <si>
    <t>Other Non-Current Liabilities</t>
  </si>
  <si>
    <t>Total Liabilities</t>
  </si>
  <si>
    <t>Common Stock</t>
  </si>
  <si>
    <t>Additional Paid In Capital</t>
  </si>
  <si>
    <t>Retained Earnings</t>
  </si>
  <si>
    <t>Treasury Stock</t>
  </si>
  <si>
    <t>Comprehensive Inc. and Other</t>
  </si>
  <si>
    <t xml:space="preserve">  Total Common Equity</t>
  </si>
  <si>
    <t>Total Equity</t>
  </si>
  <si>
    <t>Total Liabilities And Equity</t>
  </si>
  <si>
    <t>Total Shares Out. on Filing Date</t>
  </si>
  <si>
    <t>Total Shares Out. on Balance Sheet Date</t>
  </si>
  <si>
    <t>Book Value/Share</t>
  </si>
  <si>
    <t>Tangible Book Value</t>
  </si>
  <si>
    <t>Tangible Book Value/Share</t>
  </si>
  <si>
    <t>Total Debt</t>
  </si>
  <si>
    <t>Net Debt</t>
  </si>
  <si>
    <t>Debt Equivalent Oper. Leases</t>
  </si>
  <si>
    <t>Inventory Method</t>
  </si>
  <si>
    <t>FIFO</t>
  </si>
  <si>
    <t>Land</t>
  </si>
  <si>
    <t>Machinery</t>
  </si>
  <si>
    <t>Leasehold Improvements</t>
  </si>
  <si>
    <t>Full Time Employees</t>
  </si>
  <si>
    <t>RUP</t>
  </si>
  <si>
    <t>Note: For multiple class companies, total share counts are primary class equivalent, and for foreign companies listed as primary ADRs, total share counts are ADR-equivalent.</t>
  </si>
  <si>
    <t>Years</t>
  </si>
  <si>
    <t>Apple Inc.</t>
  </si>
  <si>
    <t xml:space="preserve">Income Statement </t>
  </si>
  <si>
    <t>Sales Growth</t>
  </si>
  <si>
    <t>SG&amp;A Expenses</t>
  </si>
  <si>
    <t>SG&amp;A % Sales</t>
  </si>
  <si>
    <t>R&amp;D Expenses</t>
  </si>
  <si>
    <t>R&amp;D % Sales</t>
  </si>
  <si>
    <t>EBITDA Margins</t>
  </si>
  <si>
    <t>Interest % Sales</t>
  </si>
  <si>
    <t>EBIT Margins</t>
  </si>
  <si>
    <t>Dep &amp; Amm</t>
  </si>
  <si>
    <t>Dep &amp; Amm % Sales</t>
  </si>
  <si>
    <t>COGS % Sales</t>
  </si>
  <si>
    <t>Gross Profit % Sales</t>
  </si>
  <si>
    <t>EBT Margins</t>
  </si>
  <si>
    <t>Tax</t>
  </si>
  <si>
    <t>Effective Tax Rate</t>
  </si>
  <si>
    <t>Net profit</t>
  </si>
  <si>
    <t>Net Margins</t>
  </si>
  <si>
    <t>Net Interest Expense</t>
  </si>
  <si>
    <t>Other operating expenses</t>
  </si>
  <si>
    <t>Other Op Ex % Sales</t>
  </si>
  <si>
    <t>No. of Equity Shares</t>
  </si>
  <si>
    <t>Earnings per share</t>
  </si>
  <si>
    <t>EPS Growth %</t>
  </si>
  <si>
    <t>Dividend per share</t>
  </si>
  <si>
    <t>Dividend payout ratio</t>
  </si>
  <si>
    <t>Total Current Assets</t>
  </si>
  <si>
    <t>Total Non-Current Assets</t>
  </si>
  <si>
    <t>Total Non-Current Liabilities</t>
  </si>
  <si>
    <t>Total Common Equity</t>
  </si>
  <si>
    <t>Net Property, Plant &amp; Equipment</t>
  </si>
  <si>
    <t>Check if A=L&amp;E</t>
  </si>
  <si>
    <t>Statement of Cashflow</t>
  </si>
  <si>
    <t>Cashflow from Operating activities</t>
  </si>
  <si>
    <t>Cashflow from Investing activities</t>
  </si>
  <si>
    <t>Net Change in Cash</t>
  </si>
  <si>
    <t>(+)Depreciation &amp; Amort.</t>
  </si>
  <si>
    <t>Changes in Working Capital:</t>
  </si>
  <si>
    <t>Return on Capital Employed</t>
  </si>
  <si>
    <t>Return on Equity%</t>
  </si>
  <si>
    <t>Retained Earnings%</t>
  </si>
  <si>
    <t>Self Sustained Growth Rate</t>
  </si>
  <si>
    <t>Interest Coverage Ratio</t>
  </si>
  <si>
    <t>Financial Health Ratios:</t>
  </si>
  <si>
    <t>Working Capital Ratios:</t>
  </si>
  <si>
    <t>CFO/Sales</t>
  </si>
  <si>
    <t>CFO/Total Assets</t>
  </si>
  <si>
    <t>CFO/Total Debt</t>
  </si>
  <si>
    <t>Cashflow Ratios:</t>
  </si>
  <si>
    <t>(In days)</t>
  </si>
  <si>
    <t>Mean</t>
  </si>
  <si>
    <t>Median</t>
  </si>
  <si>
    <t>12 months
Sep-30-2017</t>
  </si>
  <si>
    <t>12 months
Sep-29-2018</t>
  </si>
  <si>
    <t>Stock-Based Comp., COGS</t>
  </si>
  <si>
    <t>Stock-Based Comp., R&amp;D Exp.</t>
  </si>
  <si>
    <t>Stock-Based Comp., SG&amp;A Exp.</t>
  </si>
  <si>
    <t>12 months
Sep-27-2014</t>
  </si>
  <si>
    <t>12 months
Sep-26-2015</t>
  </si>
  <si>
    <t>12 months
Sep-24-2016</t>
  </si>
  <si>
    <t>Restated
Sep-26-2015</t>
  </si>
  <si>
    <t>Reclassified
Sep-29-2018</t>
  </si>
  <si>
    <t>RS</t>
  </si>
  <si>
    <t>RC</t>
  </si>
  <si>
    <t>Trading Asset Securities</t>
  </si>
  <si>
    <t>Goodwill</t>
  </si>
  <si>
    <t>Other Intangibles</t>
  </si>
  <si>
    <t>Unearned Revenue, Non-Current</t>
  </si>
  <si>
    <t>Def. Tax Liability, Non-Curr.</t>
  </si>
  <si>
    <t>Accum. Allowance for Doubtful Accts</t>
  </si>
  <si>
    <t>Restated
12 months
Sep-24-2016</t>
  </si>
  <si>
    <t>Restated
12 months
Sep-30-2017</t>
  </si>
  <si>
    <t>Amort. of Goodwill and Intangibles</t>
  </si>
  <si>
    <t>Sale (Purchase) of Intangible assets</t>
  </si>
  <si>
    <t>(+) Amort. Of Goodwill &amp; Intangibles</t>
  </si>
  <si>
    <t>Sale (Purchase) of intangible assets</t>
  </si>
  <si>
    <t>Year Weight</t>
  </si>
  <si>
    <t>Year</t>
  </si>
  <si>
    <t>EBITDA Growth</t>
  </si>
  <si>
    <t>EPS Growth</t>
  </si>
  <si>
    <t>Weighted Average Cost of Capital</t>
  </si>
  <si>
    <t>All figures are in USD unless stated otherwise.</t>
  </si>
  <si>
    <t xml:space="preserve">Peer comps </t>
  </si>
  <si>
    <t>Name of the Comp</t>
  </si>
  <si>
    <t>Country</t>
  </si>
  <si>
    <t>Tax Rate</t>
  </si>
  <si>
    <r>
      <t xml:space="preserve">Tax Rate </t>
    </r>
    <r>
      <rPr>
        <vertAlign val="superscript"/>
        <sz val="11"/>
        <color theme="1"/>
        <rFont val="Calibri"/>
        <family val="2"/>
      </rPr>
      <t>1</t>
    </r>
  </si>
  <si>
    <t>Debt/</t>
  </si>
  <si>
    <t>Equity</t>
  </si>
  <si>
    <t>Capital</t>
  </si>
  <si>
    <t>Levered</t>
  </si>
  <si>
    <t>Unlevered</t>
  </si>
  <si>
    <r>
      <t xml:space="preserve">Beta </t>
    </r>
    <r>
      <rPr>
        <vertAlign val="superscript"/>
        <sz val="11"/>
        <color theme="1"/>
        <rFont val="Calibri"/>
        <family val="2"/>
      </rPr>
      <t>2</t>
    </r>
  </si>
  <si>
    <r>
      <t xml:space="preserve">Beta </t>
    </r>
    <r>
      <rPr>
        <vertAlign val="superscript"/>
        <sz val="11"/>
        <color theme="1"/>
        <rFont val="Calibri"/>
        <family val="2"/>
      </rPr>
      <t>3</t>
    </r>
  </si>
  <si>
    <t>USA</t>
  </si>
  <si>
    <t>Alphabet</t>
  </si>
  <si>
    <t>Average</t>
  </si>
  <si>
    <t>Cost of Debt</t>
  </si>
  <si>
    <t>Pre-Tax Cost of Debt</t>
  </si>
  <si>
    <t>Post-Tax Cost of Debt</t>
  </si>
  <si>
    <t>Cost of Equity</t>
  </si>
  <si>
    <t>Risk-Free Rate</t>
  </si>
  <si>
    <t>Equity-Risk Premium</t>
  </si>
  <si>
    <r>
      <t xml:space="preserve">Levered Beta </t>
    </r>
    <r>
      <rPr>
        <vertAlign val="superscript"/>
        <sz val="11"/>
        <color theme="1"/>
        <rFont val="Calibri"/>
        <family val="2"/>
      </rPr>
      <t>4</t>
    </r>
  </si>
  <si>
    <t>Capital Structure</t>
  </si>
  <si>
    <t>Current</t>
  </si>
  <si>
    <t>Target</t>
  </si>
  <si>
    <t>Market Capitalization</t>
  </si>
  <si>
    <t>Total Capital</t>
  </si>
  <si>
    <t>Levered Beta</t>
  </si>
  <si>
    <t>Comps Median Unlevered Beta</t>
  </si>
  <si>
    <t>Target Debt/ Equity</t>
  </si>
  <si>
    <t>Debt/Equity</t>
  </si>
  <si>
    <t>Debt</t>
  </si>
  <si>
    <t>Total Cost</t>
  </si>
  <si>
    <t>Total Weight</t>
  </si>
  <si>
    <t>Notes:</t>
  </si>
  <si>
    <t>1. Tax Rate considered as the marginal tax rate for the country</t>
  </si>
  <si>
    <t>4. Levered Beta = Unlevered Beta*(1+(1-Tax Rate)*Debt/Equity)</t>
  </si>
  <si>
    <t>3. Unlevered Beta = Levered Beta/(1+(1-Tax Rate)*Debt/Equity)</t>
  </si>
  <si>
    <t>Date</t>
  </si>
  <si>
    <t>Closing Price</t>
  </si>
  <si>
    <t>Returns</t>
  </si>
  <si>
    <t>Apple Monthly Returns</t>
  </si>
  <si>
    <t>S&amp;P500 Monthly Returns</t>
  </si>
  <si>
    <t>Levered Raw Beta</t>
  </si>
  <si>
    <t>Raw Beta Weight</t>
  </si>
  <si>
    <t>Market Beta</t>
  </si>
  <si>
    <t>Market Beta Weight</t>
  </si>
  <si>
    <t>Adjusted Beta</t>
  </si>
  <si>
    <t xml:space="preserve">Beta Drifting </t>
  </si>
  <si>
    <t>Microsoft</t>
  </si>
  <si>
    <t>Microsoft Monthly Returns</t>
  </si>
  <si>
    <t>Alphabet Monthly Returns</t>
  </si>
  <si>
    <t>Particulars</t>
  </si>
  <si>
    <t>Calculation of ROIC</t>
  </si>
  <si>
    <t>Total Current Liabilities</t>
  </si>
  <si>
    <t>Net Working Capital</t>
  </si>
  <si>
    <t>Gross Block</t>
  </si>
  <si>
    <t>Net Non-Current Assets</t>
  </si>
  <si>
    <t>Invested Capital</t>
  </si>
  <si>
    <t>ROIC</t>
  </si>
  <si>
    <t>Calculation of Reinvestment Rate</t>
  </si>
  <si>
    <t>Net Capex</t>
  </si>
  <si>
    <t>Change in Working Capital</t>
  </si>
  <si>
    <t>Marginal Tax Rate</t>
  </si>
  <si>
    <t xml:space="preserve">Reinvestment </t>
  </si>
  <si>
    <t>Reinvestment Rate</t>
  </si>
  <si>
    <t>4-year Average</t>
  </si>
  <si>
    <t>4-year Median</t>
  </si>
  <si>
    <t>Calculation of Growth Rate</t>
  </si>
  <si>
    <t>Intrinsic Growth Rate</t>
  </si>
  <si>
    <t>Calculation of PV of FCFF</t>
  </si>
  <si>
    <t>Free Cashflow to Firm (FCFF)</t>
  </si>
  <si>
    <t>Less: Reinvestment Rate</t>
  </si>
  <si>
    <t>PV of FCFF</t>
  </si>
  <si>
    <t>WACC</t>
  </si>
  <si>
    <t>Mid Year Convention</t>
  </si>
  <si>
    <t>Discounting Factor</t>
  </si>
  <si>
    <t>Calculation of Terminal Value</t>
  </si>
  <si>
    <t>FCFF (n+1)</t>
  </si>
  <si>
    <t>Terminal Growth Rate</t>
  </si>
  <si>
    <t>Terminal Value</t>
  </si>
  <si>
    <t>1. Reinvestment rate of 36.38% is the industry average of Software (Systems &amp; Applications) found under "Fundamental GR in EBIT by Industry", by Aswath Damodaran</t>
  </si>
  <si>
    <t>2. Expected Growth rate is the average expected growth in EBIT of the Software (Systems &amp; Applications) found under "Fundamental GR in EBIT of Industry", by Aswath Damodaran</t>
  </si>
  <si>
    <t>PV of Terminal Value</t>
  </si>
  <si>
    <t>Enterprise Value</t>
  </si>
  <si>
    <t>Add: Cash</t>
  </si>
  <si>
    <t>Less: Debt</t>
  </si>
  <si>
    <t>Calculation of Equity Value per Share</t>
  </si>
  <si>
    <t>Equity Value</t>
  </si>
  <si>
    <t>No. of shares</t>
  </si>
  <si>
    <t>Equity Value per Share</t>
  </si>
  <si>
    <t>Share Price</t>
  </si>
  <si>
    <t>Discount/Premium</t>
  </si>
  <si>
    <t>5. Risk-Free Rate is 10-year US treasury bond yield</t>
  </si>
  <si>
    <t>Amazon</t>
  </si>
  <si>
    <t>2. Levered beta is based on 5-year monthly data from Yahoo Finance</t>
  </si>
  <si>
    <t>6. Equity-Risk Premium is the US market premium + Sovereign CDS Spread of US, as provided by Ashwath Damodaran</t>
  </si>
  <si>
    <t>Company</t>
  </si>
  <si>
    <t>Ticker</t>
  </si>
  <si>
    <t>Shares Outstanding</t>
  </si>
  <si>
    <t>Market Data</t>
  </si>
  <si>
    <t>Financials</t>
  </si>
  <si>
    <t>Valuation</t>
  </si>
  <si>
    <t>Alphabet Inc. (NasdaqGS:GOOGL)</t>
  </si>
  <si>
    <t>Microsoft Corporation (NasdaqGS:MSFT)</t>
  </si>
  <si>
    <t>Meta Platforms, Inc. (NasdaqGS:META)</t>
  </si>
  <si>
    <t>Amazon.com, Inc. (NasdaqGS:AMZN)</t>
  </si>
  <si>
    <t>Samsung Electronics Co., Ltd. (KOSE:A005930)</t>
  </si>
  <si>
    <t>HP Inc. (NYSE:HPQ)</t>
  </si>
  <si>
    <t>Dell Technologies Inc. (NYSE:DELL)</t>
  </si>
  <si>
    <t>Tencent Holdings Limited (SEHK:700)</t>
  </si>
  <si>
    <t>HP</t>
  </si>
  <si>
    <t xml:space="preserve">Tencent Holdings </t>
  </si>
  <si>
    <t xml:space="preserve">Samsung </t>
  </si>
  <si>
    <t>HPQ</t>
  </si>
  <si>
    <t>SEHK</t>
  </si>
  <si>
    <t>DELL</t>
  </si>
  <si>
    <t>AMZN</t>
  </si>
  <si>
    <t>GOOGL</t>
  </si>
  <si>
    <t>MSFT</t>
  </si>
  <si>
    <t>SSNLF</t>
  </si>
  <si>
    <t>Apple Inc. (NasdaqGS:AAPL) &gt;  My Apple Inc. Quick Comp &gt; Quick Comparable Analysis &gt; Financial Data</t>
  </si>
  <si>
    <t>Details</t>
  </si>
  <si>
    <t>My Capital IQ Default Comps</t>
  </si>
  <si>
    <t>US Dollar</t>
  </si>
  <si>
    <t>As-Of Date:</t>
  </si>
  <si>
    <t>Company Comp Set</t>
  </si>
  <si>
    <t>Company Name</t>
  </si>
  <si>
    <t xml:space="preserve">CY2023 Total Debt </t>
  </si>
  <si>
    <t xml:space="preserve">CY2023 Total Equity </t>
  </si>
  <si>
    <t>Market Capitalization Latest</t>
  </si>
  <si>
    <t xml:space="preserve">FY Net Debt </t>
  </si>
  <si>
    <t>Shares Outstanding Latest</t>
  </si>
  <si>
    <t>Last Sale Price</t>
  </si>
  <si>
    <t>Total Enterprise Value Latest</t>
  </si>
  <si>
    <t xml:space="preserve">CY2023 Total Revenue </t>
  </si>
  <si>
    <t xml:space="preserve">CY2023 Net Income </t>
  </si>
  <si>
    <t xml:space="preserve">CY2023 EBITDA Margin % </t>
  </si>
  <si>
    <t>Apple Inc. (NasdaqGS:AAPL)</t>
  </si>
  <si>
    <t>Summary Statistics</t>
  </si>
  <si>
    <t>High</t>
  </si>
  <si>
    <t>Low</t>
  </si>
  <si>
    <t xml:space="preserve">Dell </t>
  </si>
  <si>
    <t>EV/Revenue</t>
  </si>
  <si>
    <t>EV/EBITDA</t>
  </si>
  <si>
    <t>P/E</t>
  </si>
  <si>
    <t>AAPL</t>
  </si>
  <si>
    <t>75th Percentile</t>
  </si>
  <si>
    <t>25th Percentile</t>
  </si>
  <si>
    <t>Implied Enterprise Value</t>
  </si>
  <si>
    <t>Implied Market Value</t>
  </si>
  <si>
    <t>Implied Value per Share</t>
  </si>
  <si>
    <t>1. The data to compute Apple comparable valuation is from Yahoo Finance</t>
  </si>
  <si>
    <t>Comparable Valuation</t>
  </si>
  <si>
    <t>Sensitivity Analysis</t>
  </si>
  <si>
    <t>3. Terminal Growth rate is the 6-year long-term GDP growth of USA, by Statista</t>
  </si>
  <si>
    <t>Expected Growth Rate</t>
  </si>
  <si>
    <t>Return</t>
  </si>
  <si>
    <t>Sorted Returns</t>
  </si>
  <si>
    <t>Min</t>
  </si>
  <si>
    <t>Max</t>
  </si>
  <si>
    <t>Standard Deviation</t>
  </si>
  <si>
    <t>Percentile</t>
  </si>
  <si>
    <t>Current market price</t>
  </si>
  <si>
    <t>VAR %</t>
  </si>
  <si>
    <t>Stock Price</t>
  </si>
  <si>
    <t>VAR ($)</t>
  </si>
  <si>
    <t xml:space="preserve">Confidence </t>
  </si>
  <si>
    <t>Replication</t>
  </si>
  <si>
    <t>Simulated Returns</t>
  </si>
  <si>
    <t>Monthly VAR - Monte Carlo Simulation</t>
  </si>
  <si>
    <t xml:space="preserve">Monthly VAR - Historical </t>
  </si>
  <si>
    <t>Samsung</t>
  </si>
  <si>
    <t>Based on FY - 10 year</t>
  </si>
  <si>
    <t>S&amp;P 500 - IT sector Based on CY - 5year</t>
  </si>
  <si>
    <t>Ratios</t>
  </si>
  <si>
    <t xml:space="preserve">For the Period Ending
</t>
  </si>
  <si>
    <t>12 months
CY 2019</t>
  </si>
  <si>
    <t>12 months
CY 2020</t>
  </si>
  <si>
    <t>12 months
CY 2021</t>
  </si>
  <si>
    <t>12 months
CY 2022</t>
  </si>
  <si>
    <t>12 months
CY 2023</t>
  </si>
  <si>
    <t>Profitability</t>
  </si>
  <si>
    <t xml:space="preserve">  Return on Assets %</t>
  </si>
  <si>
    <t xml:space="preserve">  Return on Capital %</t>
  </si>
  <si>
    <t xml:space="preserve">  Return on Equity %</t>
  </si>
  <si>
    <t xml:space="preserve">  Return on Common Equity %</t>
  </si>
  <si>
    <t>Margin Analysis</t>
  </si>
  <si>
    <t xml:space="preserve">  Gross Margin %</t>
  </si>
  <si>
    <t xml:space="preserve">  SG&amp;A Margin %</t>
  </si>
  <si>
    <t xml:space="preserve">  EBITDA Margin %</t>
  </si>
  <si>
    <t xml:space="preserve">  EBITA Margin %</t>
  </si>
  <si>
    <t xml:space="preserve">  EBIT Margin %</t>
  </si>
  <si>
    <t xml:space="preserve">  EBT Margin %</t>
  </si>
  <si>
    <t xml:space="preserve">  Net Interest Income / Total Revenues %</t>
  </si>
  <si>
    <t xml:space="preserve">  Earnings from Cont. Ops Margin %</t>
  </si>
  <si>
    <t xml:space="preserve">  Net Income Margin %</t>
  </si>
  <si>
    <t xml:space="preserve">  Net Income Avail. for Common Margin %</t>
  </si>
  <si>
    <t xml:space="preserve">  Normalized Net Income Margin %</t>
  </si>
  <si>
    <t xml:space="preserve">  Levered Free Cash Flow Margin %</t>
  </si>
  <si>
    <t xml:space="preserve">  Unlevered Free Cash Flow Margin %</t>
  </si>
  <si>
    <t>Asset Turnover</t>
  </si>
  <si>
    <t xml:space="preserve">  Total Asset Turnover</t>
  </si>
  <si>
    <t xml:space="preserve">  Fixed Asset Turnover</t>
  </si>
  <si>
    <t xml:space="preserve">  Accounts Receivable Turnover</t>
  </si>
  <si>
    <t xml:space="preserve">  Inventory Turnover</t>
  </si>
  <si>
    <t>Capital And Funding</t>
  </si>
  <si>
    <t xml:space="preserve">  Avg.Common Equity / Avg.Assets %</t>
  </si>
  <si>
    <t xml:space="preserve">  Avg.Total Equity / Avg.Assets %</t>
  </si>
  <si>
    <t xml:space="preserve">  Gross Loans / Total Deposits %</t>
  </si>
  <si>
    <t xml:space="preserve">  Net Loans / Total Deposits %</t>
  </si>
  <si>
    <t xml:space="preserve">  Tier 1 Capital Ratio %</t>
  </si>
  <si>
    <t>Fixed Charges Coverage</t>
  </si>
  <si>
    <t xml:space="preserve">  EBT + Interest on Borrowings / Interest on Borrowings</t>
  </si>
  <si>
    <t xml:space="preserve">  EBT + Interest Expense / Interest Expense</t>
  </si>
  <si>
    <t>Short Term Liquidity</t>
  </si>
  <si>
    <t xml:space="preserve">  Current Ratio</t>
  </si>
  <si>
    <t xml:space="preserve">  Quick Ratio</t>
  </si>
  <si>
    <t xml:space="preserve">  Cash from Ops. to Curr. Liab.</t>
  </si>
  <si>
    <t xml:space="preserve">  Avg. Days Sales Out.</t>
  </si>
  <si>
    <t xml:space="preserve">  Avg. Days Inventory Out.</t>
  </si>
  <si>
    <t xml:space="preserve">  Avg. Days Payable Out.</t>
  </si>
  <si>
    <t xml:space="preserve">  Avg. Cash Conversion Cycle</t>
  </si>
  <si>
    <t xml:space="preserve">  Payout Ratio</t>
  </si>
  <si>
    <t>Long Term Solvency</t>
  </si>
  <si>
    <t xml:space="preserve">  Total Debt/Equity</t>
  </si>
  <si>
    <t xml:space="preserve">  Total Debt/Capital</t>
  </si>
  <si>
    <t xml:space="preserve">  LT Debt/Equity</t>
  </si>
  <si>
    <t xml:space="preserve">  LT Debt/Capital</t>
  </si>
  <si>
    <t xml:space="preserve">  Total Liabilities/Total Assets</t>
  </si>
  <si>
    <t xml:space="preserve">  EBIT / Interest Exp.</t>
  </si>
  <si>
    <t xml:space="preserve">  EBITDA / Interest Exp.</t>
  </si>
  <si>
    <t xml:space="preserve">  (EBITDA-CAPEX) / Interest Exp.</t>
  </si>
  <si>
    <t xml:space="preserve">  Total Debt/EBITDA</t>
  </si>
  <si>
    <t xml:space="preserve">  Net Debt/EBITDA</t>
  </si>
  <si>
    <t xml:space="preserve">  Total Debt/(EBITDA-CAPEX)</t>
  </si>
  <si>
    <t xml:space="preserve">  Net Debt/(EBITDA-CAPEX)</t>
  </si>
  <si>
    <t>Other</t>
  </si>
  <si>
    <t xml:space="preserve">  Total Revenue / Employee</t>
  </si>
  <si>
    <t>S&amp;P 500 Information Technology (Sector) (^SP500-45) &gt; Financials &gt; Income Statement</t>
  </si>
  <si>
    <t xml:space="preserve">All values are expressed as per share items. </t>
  </si>
  <si>
    <t>Standardized Aggregates Currency</t>
  </si>
  <si>
    <t>Total Revenue</t>
  </si>
  <si>
    <t>Operating Income</t>
  </si>
  <si>
    <t>EBT Excl. Unusual Items</t>
  </si>
  <si>
    <t>Earnings from Cont. Ops.</t>
  </si>
  <si>
    <t>NI to Common Excl. Extra Items</t>
  </si>
  <si>
    <t>S&amp;P 500 Information Technology (Sector) (^SP500-45) &gt; Financials &gt; Balance Sheet</t>
  </si>
  <si>
    <t>Minority Interest</t>
  </si>
  <si>
    <t>S&amp;P 500 Information Technology (Sector) (^SP500-45) &gt; Financials &gt; Cash Flow</t>
  </si>
  <si>
    <t>Cash from Ops.</t>
  </si>
  <si>
    <t>Cash from Investing</t>
  </si>
  <si>
    <t>Cash from Financing</t>
  </si>
  <si>
    <t>DPR</t>
  </si>
  <si>
    <t>Apple Inc. Based on FY - 5year</t>
  </si>
  <si>
    <t>in millions ($)</t>
  </si>
  <si>
    <t>Return on Equity (ROE)</t>
  </si>
  <si>
    <t>Net Profit</t>
  </si>
  <si>
    <t>Average Shareholder Equity</t>
  </si>
  <si>
    <t>ROE - Dupont Equation</t>
  </si>
  <si>
    <t>Net Profit Margin (A)</t>
  </si>
  <si>
    <t>Average Total Asset</t>
  </si>
  <si>
    <t>Asset Turnover Ratio (B)</t>
  </si>
  <si>
    <t>Equity Multiplier (C)</t>
  </si>
  <si>
    <t>Return on Equity (A*B*C)</t>
  </si>
  <si>
    <t>Return on Asset (ROA)</t>
  </si>
  <si>
    <t>ROA - Dupont Equation</t>
  </si>
  <si>
    <t>Return on Asset (A*B)</t>
  </si>
  <si>
    <t>Average Shareholder's Equity</t>
  </si>
  <si>
    <t xml:space="preserve">Dupont Summary </t>
  </si>
  <si>
    <t>Check if Ending Cash Balance=Cash Balance on Balance Sheet</t>
  </si>
  <si>
    <t>Dupont Analysis</t>
  </si>
  <si>
    <t>Samsung Monthly Returns</t>
  </si>
  <si>
    <t>Amazon Monthly Returns</t>
  </si>
  <si>
    <t>Apple Inc. - One Page Profile</t>
  </si>
  <si>
    <t>Key Financial Ratios and Multiples</t>
  </si>
  <si>
    <t>Share Price - 5Y</t>
  </si>
  <si>
    <t>Key Financial Metrics</t>
  </si>
  <si>
    <t>Earnings per share ($)</t>
  </si>
  <si>
    <t>Dividends per share ($)</t>
  </si>
  <si>
    <t>Gross Profit Margin</t>
  </si>
  <si>
    <t>Institutional investors</t>
  </si>
  <si>
    <t>Insiders</t>
  </si>
  <si>
    <t>Public Companies and Individual investors</t>
  </si>
  <si>
    <t>Shareholding Pattern</t>
  </si>
  <si>
    <t>5 year Average Financials</t>
  </si>
  <si>
    <t>Wearables, Home and Accessories</t>
  </si>
  <si>
    <t>Total net sales</t>
  </si>
  <si>
    <t xml:space="preserve">iPhone </t>
  </si>
  <si>
    <t>Mac</t>
  </si>
  <si>
    <t xml:space="preserve">iPad </t>
  </si>
  <si>
    <t xml:space="preserve">Services </t>
  </si>
  <si>
    <t>Avg</t>
  </si>
  <si>
    <t xml:space="preserve">5 Year Average Revenue Distribution </t>
  </si>
  <si>
    <t>Insights</t>
  </si>
  <si>
    <t>MOAT</t>
  </si>
  <si>
    <t>Overvalued</t>
  </si>
  <si>
    <t>$</t>
  </si>
  <si>
    <t>Adj Close</t>
  </si>
  <si>
    <t>Add: Depreciation</t>
  </si>
  <si>
    <t>Less: Increase in NWC</t>
  </si>
  <si>
    <t>Less: Capex</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</si>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</sst>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8">
    <numFmt numFmtId="44" formatCode="_(&quot;$&quot;* #,##0.00_);_(&quot;$&quot;* \(#,##0.00\);_(&quot;$&quot;* &quot;-&quot;??_);_(@_)"/>
    <numFmt numFmtId="43" formatCode="_(* #,##0.00_);_(* \(#,##0.00\);_(* &quot;-&quot;??_);_(@_)"/>
    <numFmt numFmtId="164" formatCode="0&quot;E&quot;"/>
    <numFmt numFmtId="165" formatCode="_(* #,##0.0_);_(* \(#,##0.0\)_)\ ;_(* 0_)"/>
    <numFmt numFmtId="166" formatCode="_(\$#,##0.0#_);_(\(\$#,##0.0#\)_);_(\$&quot; - &quot;_)"/>
    <numFmt numFmtId="167" formatCode="_(* #,##0.0#_);_(* \(#,##0.0#\)_)\ ;_(* 0_)"/>
    <numFmt numFmtId="168" formatCode="_(#,##0.0%_);_(\(#,##0.0%\)_);_(#,##0.0%_)"/>
    <numFmt numFmtId="169" formatCode="_(* #,##0.0##_);_(* \(#,##0.0##\)_)\ ;_(* 0_)"/>
    <numFmt numFmtId="170" formatCode="mmm\-dd\-yyyy"/>
    <numFmt numFmtId="171" formatCode="_(* #,##0_);_(* \(#,##0\)_)\ ;_(* 0_)"/>
    <numFmt numFmtId="172" formatCode="General\A"/>
    <numFmt numFmtId="173" formatCode="General\E"/>
    <numFmt numFmtId="174" formatCode="\$#,##0;\(\$#,##0\)"/>
    <numFmt numFmtId="175" formatCode="_ * #,##0.0_ ;_ * \-#,##0.0_ ;_ * &quot;-&quot;?_ ;_ @_ "/>
    <numFmt numFmtId="176" formatCode="_(\$#,##0.0##_);_(\(\$#,##0.0##\)_);_(\$&quot; - &quot;_)"/>
    <numFmt numFmtId="177" formatCode="\$#,##0.00;\(\$#,##0.00\)"/>
    <numFmt numFmtId="178" formatCode="0.00\x"/>
    <numFmt numFmtId="179" formatCode="0\A"/>
    <numFmt numFmtId="180" formatCode="\$#,##0"/>
    <numFmt numFmtId="181" formatCode="_(\ #,##0.0_);_(\ \(#,##0.0\)_);_(\ &quot; - &quot;_)"/>
    <numFmt numFmtId="182" formatCode="_(\ #,##0.0#_);_(\(\ #,##0.0#\)_);_(\ &quot; - &quot;_)"/>
    <numFmt numFmtId="183" formatCode="\$#,##0.00"/>
    <numFmt numFmtId="184" formatCode="0.000"/>
    <numFmt numFmtId="185" formatCode="0.0%"/>
    <numFmt numFmtId="186" formatCode="#,##0.0\x"/>
    <numFmt numFmtId="187" formatCode="_(\$#,##0.0_);_(\(\$#,##0.0\)_);_(\$&quot; - &quot;_)"/>
    <numFmt numFmtId="188" formatCode="0&quot;A&quot;"/>
    <numFmt numFmtId="189" formatCode="0.0000000000000000%"/>
  </numFmts>
  <fonts count="47" x14ac:knownFonts="1">
    <font>
      <sz val="11"/>
      <color theme="1"/>
      <name val="Calibri"/>
      <family val="2"/>
    </font>
    <font>
      <sz val="11"/>
      <color theme="1"/>
      <name val="Calibri"/>
      <family val="2"/>
    </font>
    <font>
      <b/>
      <sz val="11"/>
      <color theme="0"/>
      <name val="Calibri"/>
      <family val="2"/>
    </font>
    <font>
      <b/>
      <sz val="11"/>
      <color theme="1"/>
      <name val="Calibri"/>
      <family val="2"/>
    </font>
    <font>
      <sz val="11"/>
      <color rgb="FF0000FF"/>
      <name val="Calibri"/>
      <family val="2"/>
    </font>
    <font>
      <b/>
      <sz val="13"/>
      <color indexed="8"/>
      <name val="Verdana"/>
      <family val="2"/>
    </font>
    <font>
      <sz val="8"/>
      <name val="Arial"/>
      <family val="2"/>
    </font>
    <font>
      <i/>
      <sz val="8"/>
      <name val="Arial"/>
      <family val="2"/>
    </font>
    <font>
      <b/>
      <sz val="8"/>
      <name val="Arial"/>
      <family val="2"/>
    </font>
    <font>
      <sz val="8"/>
      <color indexed="8"/>
      <name val="Arial"/>
      <family val="2"/>
    </font>
    <font>
      <b/>
      <sz val="8"/>
      <color indexed="9"/>
      <name val="Verdana"/>
      <family val="2"/>
    </font>
    <font>
      <sz val="1"/>
      <color indexed="9"/>
      <name val="Symbol"/>
      <family val="1"/>
      <charset val="2"/>
    </font>
    <font>
      <b/>
      <sz val="8"/>
      <color indexed="8"/>
      <name val="Arial"/>
      <family val="2"/>
    </font>
    <font>
      <b/>
      <i/>
      <sz val="8"/>
      <color indexed="8"/>
      <name val="Arial"/>
      <family val="2"/>
    </font>
    <font>
      <b/>
      <u val="double"/>
      <sz val="8"/>
      <color indexed="8"/>
      <name val="Arial"/>
      <family val="2"/>
    </font>
    <font>
      <b/>
      <u/>
      <sz val="8"/>
      <color indexed="8"/>
      <name val="Arial"/>
      <family val="2"/>
    </font>
    <font>
      <sz val="11"/>
      <color theme="0" tint="-0.499984740745262"/>
      <name val="Calibri"/>
      <family val="2"/>
    </font>
    <font>
      <i/>
      <sz val="11"/>
      <color theme="0" tint="-0.499984740745262"/>
      <name val="Calibri"/>
      <family val="2"/>
    </font>
    <font>
      <i/>
      <sz val="11"/>
      <color theme="1"/>
      <name val="Calibri"/>
      <family val="2"/>
    </font>
    <font>
      <b/>
      <i/>
      <sz val="11"/>
      <color theme="1"/>
      <name val="Calibri"/>
      <family val="2"/>
    </font>
    <font>
      <i/>
      <sz val="10"/>
      <color theme="1"/>
      <name val="Calibri"/>
      <family val="2"/>
    </font>
    <font>
      <vertAlign val="superscript"/>
      <sz val="11"/>
      <color theme="1"/>
      <name val="Calibri"/>
      <family val="2"/>
    </font>
    <font>
      <i/>
      <sz val="9"/>
      <color theme="1"/>
      <name val="Calibri"/>
      <family val="2"/>
    </font>
    <font>
      <u/>
      <sz val="11"/>
      <color theme="10"/>
      <name val="Calibri"/>
      <family val="2"/>
    </font>
    <font>
      <i/>
      <u/>
      <sz val="9"/>
      <color theme="10"/>
      <name val="Calibri"/>
      <family val="2"/>
    </font>
    <font>
      <u/>
      <sz val="9"/>
      <color theme="10"/>
      <name val="Calibri"/>
      <family val="2"/>
    </font>
    <font>
      <sz val="11"/>
      <color theme="0"/>
      <name val="Calibri"/>
      <family val="2"/>
    </font>
    <font>
      <sz val="11"/>
      <name val="Calibri"/>
      <family val="2"/>
    </font>
    <font>
      <b/>
      <sz val="11"/>
      <name val="Calibri"/>
      <family val="2"/>
    </font>
    <font>
      <b/>
      <sz val="13"/>
      <color indexed="8"/>
      <name val="Verdana"/>
      <family val="2"/>
    </font>
    <font>
      <sz val="8"/>
      <name val="Arial"/>
      <family val="2"/>
    </font>
    <font>
      <b/>
      <sz val="8"/>
      <color indexed="9"/>
      <name val="Verdana"/>
      <family val="2"/>
    </font>
    <font>
      <sz val="1"/>
      <color indexed="9"/>
      <name val="Symbol"/>
      <family val="1"/>
      <charset val="2"/>
    </font>
    <font>
      <b/>
      <sz val="8"/>
      <name val="Arial"/>
      <family val="2"/>
    </font>
    <font>
      <sz val="8"/>
      <color indexed="8"/>
      <name val="Arial"/>
      <family val="2"/>
    </font>
    <font>
      <b/>
      <sz val="8"/>
      <color indexed="8"/>
      <name val="Arial"/>
      <family val="2"/>
    </font>
    <font>
      <i/>
      <sz val="8"/>
      <name val="Arial"/>
      <family val="2"/>
    </font>
    <font>
      <b/>
      <i/>
      <sz val="8"/>
      <color indexed="8"/>
      <name val="Arial"/>
      <family val="2"/>
    </font>
    <font>
      <b/>
      <u val="double"/>
      <sz val="8"/>
      <color indexed="8"/>
      <name val="Arial"/>
      <family val="2"/>
    </font>
    <font>
      <b/>
      <u/>
      <sz val="8"/>
      <color indexed="8"/>
      <name val="Arial"/>
      <family val="2"/>
    </font>
    <font>
      <b/>
      <sz val="22"/>
      <color theme="1"/>
      <name val="Calibri"/>
      <family val="2"/>
    </font>
    <font>
      <b/>
      <sz val="11"/>
      <color theme="0" tint="-0.249977111117893"/>
      <name val="Calibri"/>
      <family val="2"/>
    </font>
    <font>
      <sz val="11"/>
      <color theme="0" tint="-0.249977111117893"/>
      <name val="Calibri"/>
      <family val="2"/>
    </font>
    <font>
      <b/>
      <sz val="16"/>
      <color theme="0"/>
      <name val="Calibri"/>
      <family val="2"/>
    </font>
    <font>
      <b/>
      <sz val="18"/>
      <color theme="5"/>
      <name val="Times New Roman"/>
      <family val="1"/>
    </font>
    <font>
      <sz val="11"/>
      <color rgb="FFFF0000"/>
      <name val="Calibri"/>
      <family val="2"/>
    </font>
    <font>
      <i/>
      <sz val="7"/>
      <color theme="1"/>
      <name val="Calibri"/>
      <family val="2"/>
    </font>
  </fonts>
  <fills count="11">
    <fill>
      <patternFill patternType="none"/>
    </fill>
    <fill>
      <patternFill patternType="gray125"/>
    </fill>
    <fill>
      <patternFill patternType="solid">
        <fgColor theme="0"/>
        <bgColor indexed="64"/>
      </patternFill>
    </fill>
    <fill>
      <patternFill patternType="solid">
        <fgColor indexed="56"/>
        <bgColor indexed="64"/>
      </patternFill>
    </fill>
    <fill>
      <patternFill patternType="solid">
        <fgColor indexed="60"/>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theme="1"/>
        <bgColor indexed="64"/>
      </patternFill>
    </fill>
    <fill>
      <patternFill patternType="solid">
        <fgColor theme="0" tint="-0.249977111117893"/>
        <bgColor indexed="64"/>
      </patternFill>
    </fill>
  </fills>
  <borders count="11">
    <border>
      <left/>
      <right/>
      <top/>
      <bottom/>
      <diagonal/>
    </border>
    <border>
      <left/>
      <right/>
      <top style="thin">
        <color auto="1"/>
      </top>
      <bottom/>
      <diagonal/>
    </border>
    <border>
      <left/>
      <right/>
      <top/>
      <bottom style="thin">
        <color auto="1"/>
      </bottom>
      <diagonal/>
    </border>
    <border>
      <left/>
      <right/>
      <top style="thin">
        <color indexed="8"/>
      </top>
      <bottom/>
      <diagonal/>
    </border>
    <border>
      <left/>
      <right/>
      <top style="hair">
        <color theme="4" tint="-0.499984740745262"/>
      </top>
      <bottom style="hair">
        <color theme="4" tint="-0.499984740745262"/>
      </bottom>
      <diagonal/>
    </border>
    <border>
      <left/>
      <right/>
      <top style="hair">
        <color auto="1"/>
      </top>
      <bottom/>
      <diagonal/>
    </border>
    <border>
      <left/>
      <right/>
      <top/>
      <bottom style="hair">
        <color auto="1"/>
      </bottom>
      <diagonal/>
    </border>
    <border>
      <left/>
      <right/>
      <top style="thin">
        <color indexed="8"/>
      </top>
      <bottom/>
      <diagonal/>
    </border>
    <border>
      <left/>
      <right/>
      <top style="hair">
        <color auto="1"/>
      </top>
      <bottom style="hair">
        <color auto="1"/>
      </bottom>
      <diagonal/>
    </border>
    <border>
      <left/>
      <right/>
      <top style="hair">
        <color auto="1"/>
      </top>
      <bottom style="double">
        <color auto="1"/>
      </bottom>
      <diagonal/>
    </border>
    <border>
      <left/>
      <right/>
      <top/>
      <bottom style="thin">
        <color theme="0" tint="-4.9989318521683403E-2"/>
      </bottom>
      <diagonal/>
    </border>
  </borders>
  <cellStyleXfs count="6">
    <xf numFmtId="0" fontId="0" fillId="0" borderId="0"/>
    <xf numFmtId="43" fontId="1" fillId="0" borderId="0" applyFont="0" applyFill="0" applyBorder="0" applyAlignment="0" applyProtection="0"/>
    <xf numFmtId="9" fontId="1" fillId="0" borderId="0" applyFont="0" applyFill="0" applyBorder="0" applyAlignment="0" applyProtection="0"/>
    <xf numFmtId="0" fontId="11" fillId="0" borderId="0" applyAlignment="0"/>
    <xf numFmtId="0" fontId="23" fillId="0" borderId="0" applyNumberFormat="0" applyFill="0" applyBorder="0" applyAlignment="0" applyProtection="0"/>
    <xf numFmtId="44" fontId="1" fillId="0" borderId="0" applyFont="0" applyFill="0" applyBorder="0" applyAlignment="0" applyProtection="0"/>
  </cellStyleXfs>
  <cellXfs count="243">
    <xf numFmtId="0" fontId="0" fillId="0" borderId="0" xfId="0"/>
    <xf numFmtId="0" fontId="3" fillId="0" borderId="0" xfId="0" applyFont="1"/>
    <xf numFmtId="0" fontId="0" fillId="0" borderId="0" xfId="0" applyAlignment="1">
      <alignment horizontal="right"/>
    </xf>
    <xf numFmtId="10" fontId="0" fillId="0" borderId="0" xfId="2" applyNumberFormat="1" applyFont="1"/>
    <xf numFmtId="10" fontId="0" fillId="0" borderId="0" xfId="0" applyNumberFormat="1"/>
    <xf numFmtId="10" fontId="4" fillId="0" borderId="0" xfId="0" applyNumberFormat="1" applyFont="1"/>
    <xf numFmtId="10" fontId="4" fillId="0" borderId="0" xfId="2" applyNumberFormat="1" applyFont="1"/>
    <xf numFmtId="10" fontId="1" fillId="0" borderId="0" xfId="2" applyNumberFormat="1" applyFont="1"/>
    <xf numFmtId="43" fontId="4" fillId="0" borderId="0" xfId="1" applyFont="1"/>
    <xf numFmtId="43" fontId="0" fillId="0" borderId="0" xfId="1" applyFont="1"/>
    <xf numFmtId="0" fontId="0" fillId="2" borderId="0" xfId="0" applyFill="1"/>
    <xf numFmtId="0" fontId="0" fillId="0" borderId="1" xfId="0" applyBorder="1"/>
    <xf numFmtId="43" fontId="0" fillId="0" borderId="0" xfId="0" applyNumberFormat="1"/>
    <xf numFmtId="0" fontId="5" fillId="0" borderId="0" xfId="0" applyFont="1"/>
    <xf numFmtId="0" fontId="6" fillId="0" borderId="0" xfId="0" applyFont="1"/>
    <xf numFmtId="0" fontId="7" fillId="0" borderId="0" xfId="0" applyFont="1" applyAlignment="1">
      <alignment wrapText="1"/>
    </xf>
    <xf numFmtId="0" fontId="8" fillId="0" borderId="0" xfId="0" applyFont="1"/>
    <xf numFmtId="0" fontId="9" fillId="0" borderId="0" xfId="0" applyFont="1" applyAlignment="1">
      <alignment horizontal="left" vertical="top"/>
    </xf>
    <xf numFmtId="49" fontId="6" fillId="0" borderId="0" xfId="0" applyNumberFormat="1" applyFont="1"/>
    <xf numFmtId="0" fontId="9" fillId="0" borderId="0" xfId="0" applyFont="1" applyAlignment="1">
      <alignment horizontal="left" vertical="center"/>
    </xf>
    <xf numFmtId="0" fontId="10" fillId="3" borderId="0" xfId="0" applyFont="1" applyFill="1"/>
    <xf numFmtId="0" fontId="11" fillId="0" borderId="0" xfId="3" applyAlignment="1"/>
    <xf numFmtId="0" fontId="12" fillId="4" borderId="0" xfId="0" applyFont="1" applyFill="1" applyAlignment="1">
      <alignment wrapText="1"/>
    </xf>
    <xf numFmtId="0" fontId="12" fillId="4" borderId="0" xfId="0" applyFont="1" applyFill="1" applyAlignment="1">
      <alignment horizontal="right" wrapText="1"/>
    </xf>
    <xf numFmtId="0" fontId="13" fillId="4" borderId="0" xfId="0" applyFont="1" applyFill="1" applyAlignment="1">
      <alignment wrapText="1"/>
    </xf>
    <xf numFmtId="0" fontId="13" fillId="4" borderId="0" xfId="0" applyFont="1" applyFill="1" applyAlignment="1">
      <alignment horizontal="right" wrapText="1"/>
    </xf>
    <xf numFmtId="0" fontId="12" fillId="0" borderId="0" xfId="0" applyFont="1" applyAlignment="1">
      <alignment horizontal="left" vertical="top"/>
    </xf>
    <xf numFmtId="165" fontId="9" fillId="0" borderId="0" xfId="0" applyNumberFormat="1" applyFont="1" applyAlignment="1">
      <alignment horizontal="right" vertical="top" wrapText="1"/>
    </xf>
    <xf numFmtId="165" fontId="12" fillId="0" borderId="3" xfId="0" applyNumberFormat="1" applyFont="1" applyBorder="1" applyAlignment="1">
      <alignment horizontal="right" vertical="top" wrapText="1"/>
    </xf>
    <xf numFmtId="165" fontId="12" fillId="0" borderId="0" xfId="0" applyNumberFormat="1" applyFont="1" applyAlignment="1">
      <alignment horizontal="right" vertical="top" wrapText="1"/>
    </xf>
    <xf numFmtId="165" fontId="14" fillId="0" borderId="3" xfId="0" applyNumberFormat="1" applyFont="1" applyBorder="1" applyAlignment="1">
      <alignment horizontal="right" vertical="top" wrapText="1"/>
    </xf>
    <xf numFmtId="166" fontId="9" fillId="0" borderId="0" xfId="0" applyNumberFormat="1" applyFont="1" applyAlignment="1">
      <alignment horizontal="right" vertical="top" wrapText="1"/>
    </xf>
    <xf numFmtId="167" fontId="9" fillId="0" borderId="0" xfId="0" applyNumberFormat="1" applyFont="1" applyAlignment="1">
      <alignment horizontal="right" vertical="top" wrapText="1"/>
    </xf>
    <xf numFmtId="168" fontId="9" fillId="0" borderId="0" xfId="0" applyNumberFormat="1" applyFont="1" applyAlignment="1">
      <alignment horizontal="right" vertical="top" wrapText="1"/>
    </xf>
    <xf numFmtId="169" fontId="9" fillId="0" borderId="0" xfId="0" applyNumberFormat="1" applyFont="1" applyAlignment="1">
      <alignment horizontal="right" vertical="top" wrapText="1"/>
    </xf>
    <xf numFmtId="170" fontId="9" fillId="0" borderId="0" xfId="0" applyNumberFormat="1" applyFont="1" applyAlignment="1">
      <alignment horizontal="right" vertical="top" wrapText="1"/>
    </xf>
    <xf numFmtId="49" fontId="9" fillId="0" borderId="0" xfId="0" applyNumberFormat="1" applyFont="1" applyAlignment="1">
      <alignment horizontal="right" vertical="top" wrapText="1"/>
    </xf>
    <xf numFmtId="0" fontId="6" fillId="0" borderId="0" xfId="0" applyFont="1" applyAlignment="1">
      <alignment vertical="top"/>
    </xf>
    <xf numFmtId="0" fontId="6" fillId="0" borderId="0" xfId="0" applyFont="1" applyAlignment="1">
      <alignment vertical="top" wrapText="1"/>
    </xf>
    <xf numFmtId="0" fontId="9" fillId="0" borderId="0" xfId="0" applyFont="1" applyAlignment="1">
      <alignment horizontal="center" vertical="center"/>
    </xf>
    <xf numFmtId="170" fontId="12" fillId="4" borderId="0" xfId="0" applyNumberFormat="1" applyFont="1" applyFill="1" applyAlignment="1">
      <alignment horizontal="right" wrapText="1"/>
    </xf>
    <xf numFmtId="165" fontId="15" fillId="0" borderId="0" xfId="0" applyNumberFormat="1" applyFont="1" applyAlignment="1">
      <alignment horizontal="right" vertical="top" wrapText="1"/>
    </xf>
    <xf numFmtId="165" fontId="14" fillId="0" borderId="0" xfId="0" applyNumberFormat="1" applyFont="1" applyAlignment="1">
      <alignment horizontal="right" vertical="top" wrapText="1"/>
    </xf>
    <xf numFmtId="171" fontId="9" fillId="0" borderId="0" xfId="0" applyNumberFormat="1" applyFont="1" applyAlignment="1">
      <alignment horizontal="right" vertical="top" wrapText="1"/>
    </xf>
    <xf numFmtId="174" fontId="0" fillId="0" borderId="0" xfId="0" applyNumberFormat="1"/>
    <xf numFmtId="0" fontId="16" fillId="0" borderId="0" xfId="0" applyFont="1"/>
    <xf numFmtId="10" fontId="17" fillId="0" borderId="0" xfId="2" applyNumberFormat="1" applyFont="1"/>
    <xf numFmtId="175" fontId="9" fillId="0" borderId="0" xfId="0" applyNumberFormat="1" applyFont="1" applyAlignment="1">
      <alignment horizontal="left" vertical="top"/>
    </xf>
    <xf numFmtId="176" fontId="9" fillId="0" borderId="0" xfId="0" applyNumberFormat="1" applyFont="1" applyAlignment="1">
      <alignment horizontal="left" vertical="top"/>
    </xf>
    <xf numFmtId="2" fontId="0" fillId="0" borderId="0" xfId="0" applyNumberFormat="1"/>
    <xf numFmtId="177" fontId="0" fillId="0" borderId="0" xfId="0" applyNumberFormat="1"/>
    <xf numFmtId="0" fontId="18" fillId="0" borderId="0" xfId="0" applyFont="1"/>
    <xf numFmtId="0" fontId="3" fillId="0" borderId="4" xfId="0" applyFont="1" applyBorder="1"/>
    <xf numFmtId="174" fontId="3" fillId="0" borderId="4" xfId="0" applyNumberFormat="1" applyFont="1" applyBorder="1"/>
    <xf numFmtId="0" fontId="0" fillId="0" borderId="4" xfId="0" applyBorder="1"/>
    <xf numFmtId="174" fontId="0" fillId="0" borderId="4" xfId="0" applyNumberFormat="1" applyBorder="1"/>
    <xf numFmtId="0" fontId="19" fillId="0" borderId="0" xfId="0" applyFont="1"/>
    <xf numFmtId="0" fontId="0" fillId="0" borderId="5" xfId="0" applyBorder="1"/>
    <xf numFmtId="10" fontId="0" fillId="0" borderId="0" xfId="2" applyNumberFormat="1" applyFont="1" applyBorder="1"/>
    <xf numFmtId="0" fontId="0" fillId="0" borderId="6" xfId="0" applyBorder="1"/>
    <xf numFmtId="10" fontId="0" fillId="0" borderId="6" xfId="2" applyNumberFormat="1" applyFont="1" applyBorder="1"/>
    <xf numFmtId="10" fontId="0" fillId="0" borderId="6" xfId="0" applyNumberFormat="1" applyBorder="1"/>
    <xf numFmtId="178" fontId="0" fillId="0" borderId="0" xfId="0" applyNumberFormat="1"/>
    <xf numFmtId="2" fontId="0" fillId="0" borderId="6" xfId="0" applyNumberFormat="1" applyBorder="1"/>
    <xf numFmtId="165" fontId="12" fillId="0" borderId="7" xfId="0" applyNumberFormat="1" applyFont="1" applyBorder="1" applyAlignment="1">
      <alignment horizontal="right" vertical="top" wrapText="1"/>
    </xf>
    <xf numFmtId="165" fontId="14" fillId="0" borderId="7" xfId="0" applyNumberFormat="1" applyFont="1" applyBorder="1" applyAlignment="1">
      <alignment horizontal="right" vertical="top" wrapText="1"/>
    </xf>
    <xf numFmtId="179" fontId="0" fillId="0" borderId="0" xfId="0" applyNumberFormat="1"/>
    <xf numFmtId="10" fontId="0" fillId="0" borderId="0" xfId="2" applyNumberFormat="1" applyFont="1" applyBorder="1" applyAlignment="1">
      <alignment wrapText="1"/>
    </xf>
    <xf numFmtId="0" fontId="20" fillId="0" borderId="0" xfId="0" applyFont="1"/>
    <xf numFmtId="0" fontId="0" fillId="5" borderId="0" xfId="0" applyFill="1"/>
    <xf numFmtId="164" fontId="0" fillId="5" borderId="0" xfId="0" applyNumberFormat="1" applyFill="1"/>
    <xf numFmtId="174" fontId="0" fillId="5" borderId="0" xfId="0" applyNumberFormat="1" applyFill="1"/>
    <xf numFmtId="10" fontId="0" fillId="5" borderId="0" xfId="2" applyNumberFormat="1" applyFont="1" applyFill="1" applyBorder="1"/>
    <xf numFmtId="177" fontId="0" fillId="5" borderId="0" xfId="0" applyNumberFormat="1" applyFill="1"/>
    <xf numFmtId="10" fontId="0" fillId="5" borderId="0" xfId="2" applyNumberFormat="1" applyFont="1" applyFill="1"/>
    <xf numFmtId="2" fontId="0" fillId="5" borderId="0" xfId="0" applyNumberFormat="1" applyFill="1"/>
    <xf numFmtId="0" fontId="0" fillId="0" borderId="2" xfId="0" applyBorder="1"/>
    <xf numFmtId="0" fontId="3" fillId="0" borderId="1" xfId="0" applyFont="1" applyBorder="1"/>
    <xf numFmtId="10" fontId="0" fillId="0" borderId="1" xfId="0" applyNumberFormat="1" applyBorder="1"/>
    <xf numFmtId="10" fontId="0" fillId="0" borderId="1" xfId="2" applyNumberFormat="1" applyFont="1" applyBorder="1"/>
    <xf numFmtId="2" fontId="0" fillId="0" borderId="1" xfId="0" applyNumberFormat="1" applyBorder="1"/>
    <xf numFmtId="0" fontId="3" fillId="0" borderId="2" xfId="0" applyFont="1" applyBorder="1"/>
    <xf numFmtId="10" fontId="0" fillId="0" borderId="2" xfId="0" applyNumberFormat="1" applyBorder="1"/>
    <xf numFmtId="10" fontId="0" fillId="0" borderId="2" xfId="2" applyNumberFormat="1" applyFont="1" applyBorder="1"/>
    <xf numFmtId="2" fontId="0" fillId="0" borderId="2" xfId="0" applyNumberFormat="1" applyBorder="1"/>
    <xf numFmtId="10" fontId="0" fillId="5" borderId="5" xfId="0" applyNumberFormat="1" applyFill="1" applyBorder="1"/>
    <xf numFmtId="0" fontId="4" fillId="0" borderId="0" xfId="0" applyFont="1"/>
    <xf numFmtId="10" fontId="0" fillId="5" borderId="0" xfId="0" applyNumberFormat="1" applyFill="1"/>
    <xf numFmtId="2" fontId="0" fillId="5" borderId="5" xfId="0" applyNumberFormat="1" applyFill="1" applyBorder="1"/>
    <xf numFmtId="3" fontId="0" fillId="0" borderId="0" xfId="0" applyNumberFormat="1"/>
    <xf numFmtId="0" fontId="22" fillId="0" borderId="0" xfId="0" applyFont="1"/>
    <xf numFmtId="0" fontId="0" fillId="0" borderId="1" xfId="0" applyBorder="1" applyAlignment="1">
      <alignment horizontal="center"/>
    </xf>
    <xf numFmtId="0" fontId="0" fillId="0" borderId="2" xfId="0" applyBorder="1" applyAlignment="1">
      <alignment horizontal="center"/>
    </xf>
    <xf numFmtId="0" fontId="22" fillId="0" borderId="0" xfId="0" applyFont="1" applyAlignment="1">
      <alignment vertical="top"/>
    </xf>
    <xf numFmtId="14" fontId="0" fillId="0" borderId="0" xfId="0" applyNumberFormat="1"/>
    <xf numFmtId="0" fontId="3" fillId="0" borderId="0" xfId="0" applyFont="1" applyAlignment="1">
      <alignment horizontal="left"/>
    </xf>
    <xf numFmtId="0" fontId="3" fillId="0" borderId="0" xfId="0" applyFont="1" applyAlignment="1">
      <alignment horizontal="center"/>
    </xf>
    <xf numFmtId="3" fontId="0" fillId="0" borderId="6" xfId="0" applyNumberFormat="1" applyBorder="1"/>
    <xf numFmtId="10" fontId="0" fillId="0" borderId="0" xfId="2" applyNumberFormat="1" applyFont="1" applyBorder="1" applyAlignment="1"/>
    <xf numFmtId="180" fontId="4" fillId="0" borderId="0" xfId="0" applyNumberFormat="1" applyFont="1"/>
    <xf numFmtId="174" fontId="3" fillId="0" borderId="0" xfId="0" applyNumberFormat="1" applyFont="1"/>
    <xf numFmtId="0" fontId="3" fillId="0" borderId="8" xfId="0" applyFont="1" applyBorder="1"/>
    <xf numFmtId="0" fontId="0" fillId="0" borderId="8" xfId="0" applyBorder="1"/>
    <xf numFmtId="174" fontId="3" fillId="0" borderId="8" xfId="0" applyNumberFormat="1" applyFont="1" applyBorder="1"/>
    <xf numFmtId="0" fontId="3" fillId="0" borderId="9" xfId="0" applyFont="1" applyBorder="1"/>
    <xf numFmtId="174" fontId="3" fillId="0" borderId="9" xfId="0" applyNumberFormat="1" applyFont="1" applyBorder="1"/>
    <xf numFmtId="10" fontId="3" fillId="0" borderId="9" xfId="0" applyNumberFormat="1" applyFont="1" applyBorder="1"/>
    <xf numFmtId="0" fontId="0" fillId="0" borderId="9" xfId="0" applyBorder="1"/>
    <xf numFmtId="10" fontId="3" fillId="0" borderId="9" xfId="2" applyNumberFormat="1" applyFont="1" applyBorder="1"/>
    <xf numFmtId="0" fontId="3" fillId="5" borderId="0" xfId="0" applyFont="1" applyFill="1"/>
    <xf numFmtId="10" fontId="3" fillId="5" borderId="0" xfId="0" applyNumberFormat="1" applyFont="1" applyFill="1"/>
    <xf numFmtId="0" fontId="24" fillId="0" borderId="0" xfId="4" applyFont="1" applyAlignment="1">
      <alignment vertical="top" wrapText="1"/>
    </xf>
    <xf numFmtId="0" fontId="24" fillId="0" borderId="0" xfId="4" applyFont="1" applyFill="1" applyAlignment="1">
      <alignment vertical="top"/>
    </xf>
    <xf numFmtId="0" fontId="24" fillId="0" borderId="0" xfId="4" applyFont="1"/>
    <xf numFmtId="0" fontId="24" fillId="0" borderId="0" xfId="4" applyFont="1" applyAlignment="1">
      <alignment vertical="top"/>
    </xf>
    <xf numFmtId="10" fontId="4" fillId="5" borderId="0" xfId="0" applyNumberFormat="1" applyFont="1" applyFill="1"/>
    <xf numFmtId="0" fontId="25" fillId="0" borderId="0" xfId="4" applyFont="1" applyFill="1" applyBorder="1" applyAlignment="1">
      <alignment vertical="top"/>
    </xf>
    <xf numFmtId="178" fontId="0" fillId="5" borderId="0" xfId="1" applyNumberFormat="1" applyFont="1" applyFill="1"/>
    <xf numFmtId="0" fontId="6" fillId="0" borderId="0" xfId="0" applyFont="1" applyAlignment="1">
      <alignment horizontal="left"/>
    </xf>
    <xf numFmtId="170" fontId="6" fillId="0" borderId="0" xfId="0" applyNumberFormat="1" applyFont="1" applyAlignment="1">
      <alignment horizontal="left"/>
    </xf>
    <xf numFmtId="0" fontId="12" fillId="4" borderId="0" xfId="0" applyFont="1" applyFill="1" applyAlignment="1">
      <alignment horizontal="left" vertical="top" wrapText="1"/>
    </xf>
    <xf numFmtId="0" fontId="12" fillId="4" borderId="0" xfId="0" applyFont="1" applyFill="1" applyAlignment="1">
      <alignment horizontal="right" vertical="top" wrapText="1"/>
    </xf>
    <xf numFmtId="181" fontId="9" fillId="0" borderId="0" xfId="0" applyNumberFormat="1" applyFont="1" applyAlignment="1">
      <alignment horizontal="right" vertical="top" wrapText="1"/>
    </xf>
    <xf numFmtId="182" fontId="9" fillId="0" borderId="0" xfId="0" applyNumberFormat="1" applyFont="1" applyAlignment="1">
      <alignment horizontal="right" vertical="top" wrapText="1"/>
    </xf>
    <xf numFmtId="0" fontId="12" fillId="0" borderId="0" xfId="0" applyFont="1" applyAlignment="1">
      <alignment vertical="top" wrapText="1"/>
    </xf>
    <xf numFmtId="0" fontId="12" fillId="4" borderId="0" xfId="0" applyFont="1" applyFill="1" applyAlignment="1">
      <alignment vertical="top" wrapText="1"/>
    </xf>
    <xf numFmtId="180" fontId="0" fillId="0" borderId="0" xfId="0" applyNumberFormat="1"/>
    <xf numFmtId="180" fontId="27" fillId="0" borderId="0" xfId="0" applyNumberFormat="1" applyFont="1"/>
    <xf numFmtId="4" fontId="0" fillId="0" borderId="0" xfId="0" applyNumberFormat="1"/>
    <xf numFmtId="180" fontId="0" fillId="5" borderId="0" xfId="0" applyNumberFormat="1" applyFill="1"/>
    <xf numFmtId="4" fontId="0" fillId="5" borderId="0" xfId="0" applyNumberFormat="1" applyFill="1"/>
    <xf numFmtId="178" fontId="0" fillId="5" borderId="0" xfId="0" applyNumberFormat="1" applyFill="1"/>
    <xf numFmtId="183" fontId="3" fillId="0" borderId="8" xfId="0" applyNumberFormat="1" applyFont="1" applyBorder="1"/>
    <xf numFmtId="0" fontId="27" fillId="5" borderId="5" xfId="0" applyFont="1" applyFill="1" applyBorder="1"/>
    <xf numFmtId="0" fontId="0" fillId="5" borderId="5" xfId="0" applyFill="1" applyBorder="1"/>
    <xf numFmtId="0" fontId="27" fillId="5" borderId="0" xfId="0" applyFont="1" applyFill="1"/>
    <xf numFmtId="0" fontId="28" fillId="5" borderId="0" xfId="0" applyFont="1" applyFill="1"/>
    <xf numFmtId="2" fontId="3" fillId="5" borderId="0" xfId="0" applyNumberFormat="1" applyFont="1" applyFill="1"/>
    <xf numFmtId="0" fontId="27" fillId="5" borderId="6" xfId="0" applyFont="1" applyFill="1" applyBorder="1"/>
    <xf numFmtId="0" fontId="0" fillId="5" borderId="6" xfId="0" applyFill="1" applyBorder="1"/>
    <xf numFmtId="178" fontId="0" fillId="5" borderId="6" xfId="0" applyNumberFormat="1" applyFill="1" applyBorder="1"/>
    <xf numFmtId="174" fontId="0" fillId="2" borderId="0" xfId="0" applyNumberFormat="1" applyFill="1"/>
    <xf numFmtId="174" fontId="26" fillId="2" borderId="0" xfId="0" applyNumberFormat="1" applyFont="1" applyFill="1"/>
    <xf numFmtId="9" fontId="3" fillId="0" borderId="0" xfId="0" applyNumberFormat="1" applyFont="1" applyAlignment="1">
      <alignment horizontal="left"/>
    </xf>
    <xf numFmtId="10" fontId="3" fillId="0" borderId="0" xfId="0" applyNumberFormat="1" applyFont="1" applyAlignment="1">
      <alignment horizontal="left"/>
    </xf>
    <xf numFmtId="9" fontId="3" fillId="0" borderId="0" xfId="0" applyNumberFormat="1" applyFont="1" applyAlignment="1">
      <alignment horizontal="center"/>
    </xf>
    <xf numFmtId="10" fontId="3" fillId="0" borderId="0" xfId="0" applyNumberFormat="1" applyFont="1" applyAlignment="1">
      <alignment horizontal="center"/>
    </xf>
    <xf numFmtId="174" fontId="0" fillId="6" borderId="0" xfId="0" applyNumberFormat="1" applyFill="1"/>
    <xf numFmtId="9" fontId="0" fillId="0" borderId="0" xfId="2" applyFont="1"/>
    <xf numFmtId="10" fontId="0" fillId="0" borderId="8" xfId="0" applyNumberFormat="1" applyBorder="1"/>
    <xf numFmtId="10" fontId="0" fillId="0" borderId="8" xfId="2" applyNumberFormat="1" applyFont="1" applyBorder="1"/>
    <xf numFmtId="0" fontId="4" fillId="0" borderId="8" xfId="0" applyFont="1" applyBorder="1"/>
    <xf numFmtId="9" fontId="0" fillId="0" borderId="8" xfId="0" applyNumberFormat="1" applyBorder="1" applyAlignment="1">
      <alignment horizontal="right"/>
    </xf>
    <xf numFmtId="10" fontId="0" fillId="0" borderId="8" xfId="2" applyNumberFormat="1" applyFont="1" applyBorder="1" applyAlignment="1">
      <alignment horizontal="right"/>
    </xf>
    <xf numFmtId="2" fontId="0" fillId="0" borderId="8" xfId="0" applyNumberFormat="1" applyBorder="1" applyAlignment="1">
      <alignment horizontal="right"/>
    </xf>
    <xf numFmtId="0" fontId="3" fillId="0" borderId="8" xfId="0" applyFont="1" applyBorder="1" applyAlignment="1">
      <alignment horizontal="center"/>
    </xf>
    <xf numFmtId="185" fontId="0" fillId="0" borderId="8" xfId="0" applyNumberFormat="1" applyBorder="1" applyAlignment="1">
      <alignment horizontal="right"/>
    </xf>
    <xf numFmtId="9" fontId="27" fillId="0" borderId="8" xfId="0" applyNumberFormat="1" applyFont="1" applyBorder="1" applyAlignment="1">
      <alignment horizontal="left"/>
    </xf>
    <xf numFmtId="10" fontId="27" fillId="0" borderId="8" xfId="0" applyNumberFormat="1" applyFont="1" applyBorder="1" applyAlignment="1">
      <alignment horizontal="left"/>
    </xf>
    <xf numFmtId="14" fontId="26" fillId="0" borderId="0" xfId="0" applyNumberFormat="1" applyFont="1"/>
    <xf numFmtId="2" fontId="26" fillId="0" borderId="0" xfId="0" applyNumberFormat="1" applyFont="1"/>
    <xf numFmtId="10" fontId="26" fillId="0" borderId="0" xfId="2" applyNumberFormat="1" applyFont="1"/>
    <xf numFmtId="0" fontId="26" fillId="0" borderId="0" xfId="0" applyFont="1"/>
    <xf numFmtId="184" fontId="26" fillId="0" borderId="0" xfId="0" applyNumberFormat="1" applyFont="1"/>
    <xf numFmtId="185" fontId="0" fillId="0" borderId="0" xfId="2" applyNumberFormat="1" applyFont="1"/>
    <xf numFmtId="0" fontId="29" fillId="0" borderId="0" xfId="0" applyFont="1"/>
    <xf numFmtId="0" fontId="30" fillId="0" borderId="0" xfId="0" applyFont="1"/>
    <xf numFmtId="0" fontId="31" fillId="3" borderId="0" xfId="0" applyFont="1" applyFill="1"/>
    <xf numFmtId="0" fontId="32" fillId="0" borderId="0" xfId="3" applyFont="1" applyAlignment="1"/>
    <xf numFmtId="0" fontId="33" fillId="0" borderId="0" xfId="0" applyFont="1"/>
    <xf numFmtId="0" fontId="34" fillId="0" borderId="0" xfId="0" applyFont="1" applyAlignment="1">
      <alignment horizontal="left" vertical="top"/>
    </xf>
    <xf numFmtId="168" fontId="34" fillId="0" borderId="0" xfId="0" applyNumberFormat="1" applyFont="1" applyAlignment="1">
      <alignment horizontal="right" vertical="top" wrapText="1"/>
    </xf>
    <xf numFmtId="0" fontId="35" fillId="4" borderId="0" xfId="0" applyFont="1" applyFill="1" applyAlignment="1">
      <alignment wrapText="1"/>
    </xf>
    <xf numFmtId="0" fontId="35" fillId="4" borderId="0" xfId="0" applyFont="1" applyFill="1" applyAlignment="1">
      <alignment horizontal="right" wrapText="1"/>
    </xf>
    <xf numFmtId="0" fontId="35" fillId="0" borderId="0" xfId="0" applyFont="1" applyAlignment="1">
      <alignment horizontal="left" vertical="top"/>
    </xf>
    <xf numFmtId="168" fontId="30" fillId="0" borderId="0" xfId="0" applyNumberFormat="1" applyFont="1"/>
    <xf numFmtId="49" fontId="34" fillId="0" borderId="0" xfId="0" applyNumberFormat="1" applyFont="1" applyAlignment="1">
      <alignment horizontal="right" vertical="top" wrapText="1"/>
    </xf>
    <xf numFmtId="186" fontId="34" fillId="0" borderId="0" xfId="0" applyNumberFormat="1" applyFont="1" applyAlignment="1">
      <alignment horizontal="right" vertical="top" wrapText="1"/>
    </xf>
    <xf numFmtId="165" fontId="34" fillId="0" borderId="0" xfId="0" applyNumberFormat="1" applyFont="1" applyAlignment="1">
      <alignment horizontal="right" vertical="top" wrapText="1"/>
    </xf>
    <xf numFmtId="0" fontId="36" fillId="0" borderId="0" xfId="0" applyFont="1" applyAlignment="1">
      <alignment wrapText="1"/>
    </xf>
    <xf numFmtId="49" fontId="30" fillId="0" borderId="0" xfId="0" applyNumberFormat="1" applyFont="1"/>
    <xf numFmtId="0" fontId="37" fillId="4" borderId="0" xfId="0" applyFont="1" applyFill="1" applyAlignment="1">
      <alignment wrapText="1"/>
    </xf>
    <xf numFmtId="0" fontId="37" fillId="4" borderId="0" xfId="0" applyFont="1" applyFill="1" applyAlignment="1">
      <alignment horizontal="right" wrapText="1"/>
    </xf>
    <xf numFmtId="165" fontId="35" fillId="0" borderId="0" xfId="0" applyNumberFormat="1" applyFont="1" applyAlignment="1">
      <alignment horizontal="right" vertical="top" wrapText="1"/>
    </xf>
    <xf numFmtId="165" fontId="38" fillId="0" borderId="7" xfId="0" applyNumberFormat="1" applyFont="1" applyBorder="1" applyAlignment="1">
      <alignment horizontal="right" vertical="top" wrapText="1"/>
    </xf>
    <xf numFmtId="187" fontId="34" fillId="0" borderId="0" xfId="0" applyNumberFormat="1" applyFont="1" applyAlignment="1">
      <alignment horizontal="right" vertical="top" wrapText="1"/>
    </xf>
    <xf numFmtId="165" fontId="39" fillId="0" borderId="0" xfId="0" applyNumberFormat="1" applyFont="1" applyAlignment="1">
      <alignment horizontal="right" vertical="top" wrapText="1"/>
    </xf>
    <xf numFmtId="165" fontId="6" fillId="0" borderId="0" xfId="0" applyNumberFormat="1" applyFont="1"/>
    <xf numFmtId="10" fontId="8" fillId="0" borderId="0" xfId="2" applyNumberFormat="1" applyFont="1"/>
    <xf numFmtId="10" fontId="0" fillId="7" borderId="0" xfId="2" applyNumberFormat="1" applyFont="1" applyFill="1" applyBorder="1"/>
    <xf numFmtId="178" fontId="0" fillId="7" borderId="0" xfId="0" applyNumberFormat="1" applyFill="1"/>
    <xf numFmtId="10" fontId="0" fillId="8" borderId="0" xfId="2" applyNumberFormat="1" applyFont="1" applyFill="1" applyBorder="1"/>
    <xf numFmtId="2" fontId="0" fillId="7" borderId="0" xfId="0" applyNumberFormat="1" applyFill="1"/>
    <xf numFmtId="0" fontId="40" fillId="0" borderId="0" xfId="0" applyFont="1"/>
    <xf numFmtId="0" fontId="2" fillId="9" borderId="0" xfId="0" applyFont="1" applyFill="1" applyAlignment="1">
      <alignment horizontal="center"/>
    </xf>
    <xf numFmtId="0" fontId="2" fillId="9" borderId="0" xfId="0" applyFont="1" applyFill="1"/>
    <xf numFmtId="172" fontId="2" fillId="9" borderId="0" xfId="0" applyNumberFormat="1" applyFont="1" applyFill="1"/>
    <xf numFmtId="173" fontId="2" fillId="9" borderId="0" xfId="0" applyNumberFormat="1" applyFont="1" applyFill="1" applyAlignment="1">
      <alignment horizontal="right"/>
    </xf>
    <xf numFmtId="164" fontId="2" fillId="9" borderId="0" xfId="0" applyNumberFormat="1" applyFont="1" applyFill="1"/>
    <xf numFmtId="0" fontId="3" fillId="10" borderId="0" xfId="0" applyFont="1" applyFill="1"/>
    <xf numFmtId="0" fontId="41" fillId="10" borderId="0" xfId="0" applyFont="1" applyFill="1"/>
    <xf numFmtId="0" fontId="42" fillId="10" borderId="0" xfId="0" applyFont="1" applyFill="1"/>
    <xf numFmtId="172" fontId="3" fillId="10" borderId="0" xfId="0" applyNumberFormat="1" applyFont="1" applyFill="1" applyAlignment="1">
      <alignment horizontal="right"/>
    </xf>
    <xf numFmtId="0" fontId="2" fillId="9" borderId="0" xfId="0" applyFont="1" applyFill="1" applyAlignment="1">
      <alignment horizontal="right"/>
    </xf>
    <xf numFmtId="172" fontId="2" fillId="9" borderId="0" xfId="0" applyNumberFormat="1" applyFont="1" applyFill="1" applyAlignment="1">
      <alignment horizontal="right"/>
    </xf>
    <xf numFmtId="0" fontId="2" fillId="9" borderId="0" xfId="0" applyFont="1" applyFill="1" applyAlignment="1">
      <alignment horizontal="center" vertical="center" wrapText="1"/>
    </xf>
    <xf numFmtId="172" fontId="2" fillId="9" borderId="0" xfId="0" applyNumberFormat="1" applyFont="1" applyFill="1" applyAlignment="1">
      <alignment horizontal="center"/>
    </xf>
    <xf numFmtId="0" fontId="2" fillId="9" borderId="0" xfId="0" applyFont="1" applyFill="1" applyAlignment="1">
      <alignment horizontal="left"/>
    </xf>
    <xf numFmtId="179" fontId="2" fillId="9" borderId="0" xfId="0" applyNumberFormat="1" applyFont="1" applyFill="1"/>
    <xf numFmtId="0" fontId="3" fillId="10" borderId="0" xfId="0" applyFont="1" applyFill="1" applyAlignment="1">
      <alignment vertical="top"/>
    </xf>
    <xf numFmtId="172" fontId="3" fillId="10" borderId="0" xfId="0" applyNumberFormat="1" applyFont="1" applyFill="1" applyAlignment="1">
      <alignment horizontal="center"/>
    </xf>
    <xf numFmtId="172" fontId="3" fillId="10" borderId="0" xfId="0" applyNumberFormat="1" applyFont="1" applyFill="1" applyAlignment="1">
      <alignment horizontal="center" wrapText="1"/>
    </xf>
    <xf numFmtId="10" fontId="3" fillId="10" borderId="0" xfId="2" applyNumberFormat="1" applyFont="1" applyFill="1"/>
    <xf numFmtId="178" fontId="3" fillId="10" borderId="0" xfId="0" applyNumberFormat="1" applyFont="1" applyFill="1"/>
    <xf numFmtId="188" fontId="3" fillId="5" borderId="0" xfId="0" applyNumberFormat="1" applyFont="1" applyFill="1"/>
    <xf numFmtId="177" fontId="3" fillId="0" borderId="9" xfId="0" applyNumberFormat="1" applyFont="1" applyBorder="1"/>
    <xf numFmtId="189" fontId="0" fillId="0" borderId="0" xfId="0" applyNumberFormat="1"/>
    <xf numFmtId="0" fontId="18" fillId="0" borderId="0" xfId="0" applyFont="1" applyAlignment="1">
      <alignment wrapText="1"/>
    </xf>
    <xf numFmtId="174" fontId="0" fillId="0" borderId="0" xfId="0" applyNumberFormat="1" applyAlignment="1">
      <alignment horizontal="center"/>
    </xf>
    <xf numFmtId="0" fontId="2" fillId="2" borderId="0" xfId="0" applyFont="1" applyFill="1" applyAlignment="1">
      <alignment horizontal="left"/>
    </xf>
    <xf numFmtId="10" fontId="26" fillId="0" borderId="0" xfId="0" applyNumberFormat="1" applyFont="1"/>
    <xf numFmtId="174" fontId="28" fillId="0" borderId="4" xfId="0" applyNumberFormat="1" applyFont="1" applyBorder="1"/>
    <xf numFmtId="0" fontId="27" fillId="0" borderId="0" xfId="0" applyFont="1"/>
    <xf numFmtId="174" fontId="27" fillId="0" borderId="0" xfId="0" applyNumberFormat="1" applyFont="1"/>
    <xf numFmtId="0" fontId="3" fillId="2" borderId="4" xfId="0" applyFont="1" applyFill="1" applyBorder="1" applyAlignment="1">
      <alignment horizontal="left"/>
    </xf>
    <xf numFmtId="0" fontId="3" fillId="2" borderId="4" xfId="0" applyFont="1" applyFill="1" applyBorder="1"/>
    <xf numFmtId="2" fontId="44" fillId="0" borderId="0" xfId="0" applyNumberFormat="1" applyFont="1" applyAlignment="1">
      <alignment horizontal="center" vertical="center"/>
    </xf>
    <xf numFmtId="0" fontId="45" fillId="0" borderId="0" xfId="0" applyFont="1"/>
    <xf numFmtId="44" fontId="26" fillId="0" borderId="0" xfId="5" applyFont="1"/>
    <xf numFmtId="0" fontId="46" fillId="0" borderId="0" xfId="0" applyFont="1" applyAlignment="1">
      <alignment vertical="top"/>
    </xf>
    <xf numFmtId="0" fontId="2" fillId="9" borderId="0" xfId="0" applyFont="1" applyFill="1" applyAlignment="1">
      <alignment horizontal="center"/>
    </xf>
    <xf numFmtId="0" fontId="2" fillId="9" borderId="0" xfId="0" applyFont="1" applyFill="1" applyAlignment="1">
      <alignment horizontal="left"/>
    </xf>
    <xf numFmtId="0" fontId="44" fillId="0" borderId="0" xfId="0" applyFont="1" applyAlignment="1">
      <alignment horizontal="center" vertical="center"/>
    </xf>
    <xf numFmtId="2" fontId="44" fillId="0" borderId="0" xfId="0" applyNumberFormat="1" applyFont="1" applyAlignment="1">
      <alignment horizontal="center" vertical="center"/>
    </xf>
    <xf numFmtId="2" fontId="44" fillId="0" borderId="0" xfId="0" applyNumberFormat="1" applyFont="1" applyAlignment="1">
      <alignment horizontal="right" vertical="center"/>
    </xf>
    <xf numFmtId="0" fontId="3" fillId="10" borderId="0" xfId="0" applyFont="1" applyFill="1"/>
    <xf numFmtId="0" fontId="2" fillId="9" borderId="0" xfId="0" applyFont="1" applyFill="1" applyAlignment="1">
      <alignment horizontal="center" vertical="center"/>
    </xf>
    <xf numFmtId="0" fontId="3" fillId="10" borderId="0" xfId="0" applyFont="1" applyFill="1" applyAlignment="1">
      <alignment horizontal="center"/>
    </xf>
    <xf numFmtId="0" fontId="2" fillId="9" borderId="0" xfId="0" applyFont="1" applyFill="1"/>
    <xf numFmtId="0" fontId="3" fillId="10" borderId="10" xfId="0" applyFont="1" applyFill="1" applyBorder="1" applyAlignment="1">
      <alignment horizontal="center" vertical="top"/>
    </xf>
    <xf numFmtId="172" fontId="3" fillId="10" borderId="10" xfId="0" applyNumberFormat="1" applyFont="1" applyFill="1" applyBorder="1" applyAlignment="1">
      <alignment horizontal="center"/>
    </xf>
    <xf numFmtId="0" fontId="3" fillId="10" borderId="6" xfId="0" applyFont="1" applyFill="1" applyBorder="1" applyAlignment="1">
      <alignment horizontal="center"/>
    </xf>
    <xf numFmtId="0" fontId="43" fillId="9" borderId="0" xfId="0" applyFont="1" applyFill="1" applyAlignment="1">
      <alignment horizontal="center"/>
    </xf>
  </cellXfs>
  <cellStyles count="6">
    <cellStyle name="Comma" xfId="1" builtinId="3"/>
    <cellStyle name="Currency" xfId="5" builtinId="4"/>
    <cellStyle name="Hyperlink" xfId="4" builtinId="8"/>
    <cellStyle name="Invisible" xfId="3" xr:uid="{6431ED1F-E1FB-4A38-AEE0-6756DDB340DC}"/>
    <cellStyle name="Normal" xfId="0" builtinId="0"/>
    <cellStyle name="Percent" xfId="2" builtinId="5"/>
  </cellStyles>
  <dxfs count="4">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s>
  <tableStyles count="0" defaultTableStyle="TableStyleMedium2" defaultPivotStyle="PivotStyleLight16"/>
  <colors>
    <mruColors>
      <color rgb="FFFC9AA6"/>
      <color rgb="FF0000FF"/>
      <color rgb="FFC1DFFF"/>
      <color rgb="FFB2E2FC"/>
      <color rgb="FFBCE3F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7.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8.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9.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10.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1.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2.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3.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4.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110538776312904"/>
          <c:y val="5.7887120115774238E-2"/>
          <c:w val="0.43275560295597054"/>
          <c:h val="0.65195163918547805"/>
        </c:manualLayout>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2-2257-44D3-87A5-BD1CCC86559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F67-4DD9-B799-02F48496C5C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F67-4DD9-B799-02F48496C5CD}"/>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'One Page Profile'!$Q$50:$Q$52</c:f>
              <c:strCache>
                <c:ptCount val="3"/>
                <c:pt idx="0">
                  <c:v>Institutional investors</c:v>
                </c:pt>
                <c:pt idx="1">
                  <c:v>Insiders</c:v>
                </c:pt>
                <c:pt idx="2">
                  <c:v>Public Companies and Individual investors</c:v>
                </c:pt>
              </c:strCache>
            </c:strRef>
          </c:cat>
          <c:val>
            <c:numRef>
              <c:f>'One Page Profile'!$R$50:$R$52</c:f>
              <c:numCache>
                <c:formatCode>0.00%</c:formatCode>
                <c:ptCount val="3"/>
                <c:pt idx="0">
                  <c:v>0.5756</c:v>
                </c:pt>
                <c:pt idx="1">
                  <c:v>5.2200000000000003E-2</c:v>
                </c:pt>
                <c:pt idx="2">
                  <c:v>0.37219999999999998</c:v>
                </c:pt>
              </c:numCache>
            </c:numRef>
          </c:val>
          <c:extLst>
            <c:ext xmlns:c16="http://schemas.microsoft.com/office/drawing/2014/chart" uri="{C3380CC4-5D6E-409C-BE32-E72D297353CC}">
              <c16:uniqueId val="{00000000-2257-44D3-87A5-BD1CCC865597}"/>
            </c:ext>
          </c:extLst>
        </c:ser>
        <c:dLbls>
          <c:showLegendKey val="0"/>
          <c:showVal val="0"/>
          <c:showCatName val="0"/>
          <c:showSerName val="0"/>
          <c:showPercent val="0"/>
          <c:showBubbleSize val="0"/>
          <c:showLeaderLines val="1"/>
        </c:dLbls>
        <c:firstSliceAng val="0"/>
      </c:pieChart>
      <c:spPr>
        <a:noFill/>
        <a:ln>
          <a:noFill/>
        </a:ln>
        <a:effectLst/>
      </c:spPr>
    </c:plotArea>
    <c:legend>
      <c:legendPos val="b"/>
      <c:layout>
        <c:manualLayout>
          <c:xMode val="edge"/>
          <c:yMode val="edge"/>
          <c:x val="0.53990992075306754"/>
          <c:y val="0.2235869503287487"/>
          <c:w val="0.37829857723116023"/>
          <c:h val="0.5858571479617182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33950277435479714"/>
          <c:y val="6.0689655172413794E-2"/>
          <c:w val="0.58295536665343883"/>
          <c:h val="0.81131990225359762"/>
        </c:manualLayout>
      </c:layout>
      <c:barChart>
        <c:barDir val="bar"/>
        <c:grouping val="clustered"/>
        <c:varyColors val="0"/>
        <c:ser>
          <c:idx val="0"/>
          <c:order val="0"/>
          <c:spPr>
            <a:solidFill>
              <a:schemeClr val="accent1"/>
            </a:solidFill>
            <a:ln>
              <a:noFill/>
            </a:ln>
            <a:effectLst/>
          </c:spPr>
          <c:invertIfNegative val="0"/>
          <c:dLbls>
            <c:dLbl>
              <c:idx val="0"/>
              <c:layout>
                <c:manualLayout>
                  <c:x val="-1.4184233305647032E-16"/>
                  <c:y val="2.5356576862123614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7113-4F23-BD0B-CE2F53C3E35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'One Page Profile'!$Q$39:$Q$43</c:f>
              <c:strCache>
                <c:ptCount val="5"/>
                <c:pt idx="0">
                  <c:v>iPhone </c:v>
                </c:pt>
                <c:pt idx="1">
                  <c:v>Mac</c:v>
                </c:pt>
                <c:pt idx="2">
                  <c:v>iPad </c:v>
                </c:pt>
                <c:pt idx="3">
                  <c:v>Wearables, Home and Accessories</c:v>
                </c:pt>
                <c:pt idx="4">
                  <c:v>Services </c:v>
                </c:pt>
              </c:strCache>
            </c:strRef>
          </c:cat>
          <c:val>
            <c:numRef>
              <c:f>'One Page Profile'!$W$39:$W$43</c:f>
              <c:numCache>
                <c:formatCode>_("$"* #,##0.00_);_("$"* \(#,##0.00\);_("$"* "-"??_);_(@_)</c:formatCode>
                <c:ptCount val="5"/>
                <c:pt idx="0">
                  <c:v>175641.4</c:v>
                </c:pt>
                <c:pt idx="1">
                  <c:v>31817.200000000001</c:v>
                </c:pt>
                <c:pt idx="2">
                  <c:v>26891.599999999999</c:v>
                </c:pt>
                <c:pt idx="3">
                  <c:v>34911</c:v>
                </c:pt>
                <c:pt idx="4">
                  <c:v>66362.600000000006</c:v>
                </c:pt>
              </c:numCache>
            </c:numRef>
          </c:val>
          <c:extLst>
            <c:ext xmlns:c16="http://schemas.microsoft.com/office/drawing/2014/chart" uri="{C3380CC4-5D6E-409C-BE32-E72D297353CC}">
              <c16:uniqueId val="{00000000-E4F3-4686-BA40-DFC8448A818F}"/>
            </c:ext>
          </c:extLst>
        </c:ser>
        <c:dLbls>
          <c:dLblPos val="outEnd"/>
          <c:showLegendKey val="0"/>
          <c:showVal val="1"/>
          <c:showCatName val="0"/>
          <c:showSerName val="0"/>
          <c:showPercent val="0"/>
          <c:showBubbleSize val="0"/>
        </c:dLbls>
        <c:gapWidth val="182"/>
        <c:axId val="1687491391"/>
        <c:axId val="1687491871"/>
      </c:barChart>
      <c:catAx>
        <c:axId val="16874913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7491871"/>
        <c:crosses val="autoZero"/>
        <c:auto val="1"/>
        <c:lblAlgn val="ctr"/>
        <c:lblOffset val="100"/>
        <c:noMultiLvlLbl val="0"/>
      </c:catAx>
      <c:valAx>
        <c:axId val="1687491871"/>
        <c:scaling>
          <c:orientation val="minMax"/>
        </c:scaling>
        <c:delete val="1"/>
        <c:axPos val="b"/>
        <c:numFmt formatCode="_(&quot;$&quot;* #,##0.00_);_(&quot;$&quot;* \(#,##0.00\);_(&quot;$&quot;* &quot;-&quot;??_);_(@_)" sourceLinked="1"/>
        <c:majorTickMark val="none"/>
        <c:minorTickMark val="none"/>
        <c:tickLblPos val="nextTo"/>
        <c:crossAx val="1687491391"/>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spPr>
            <a:ln w="28575" cap="rnd">
              <a:solidFill>
                <a:schemeClr val="accent1"/>
              </a:solidFill>
              <a:round/>
            </a:ln>
            <a:effectLst/>
          </c:spPr>
          <c:marker>
            <c:symbol val="none"/>
          </c:marker>
          <c:trendline>
            <c:spPr>
              <a:ln w="19050" cap="rnd">
                <a:solidFill>
                  <a:schemeClr val="accent1"/>
                </a:solidFill>
                <a:prstDash val="sysDot"/>
              </a:ln>
              <a:effectLst/>
            </c:spPr>
            <c:trendlineType val="linear"/>
            <c:dispRSqr val="0"/>
            <c:dispEq val="0"/>
          </c:trendline>
          <c:val>
            <c:numRef>
              <c:f>'Data Sheet'!$B$473:$B$533</c:f>
              <c:numCache>
                <c:formatCode>General</c:formatCode>
                <c:ptCount val="61"/>
                <c:pt idx="0">
                  <c:v>51.401077000000001</c:v>
                </c:pt>
                <c:pt idx="1">
                  <c:v>50.363598000000003</c:v>
                </c:pt>
                <c:pt idx="2">
                  <c:v>54.243518999999999</c:v>
                </c:pt>
                <c:pt idx="3">
                  <c:v>60.247436999999998</c:v>
                </c:pt>
                <c:pt idx="4">
                  <c:v>64.725548000000003</c:v>
                </c:pt>
                <c:pt idx="5">
                  <c:v>71.332909000000001</c:v>
                </c:pt>
                <c:pt idx="6">
                  <c:v>75.185576999999995</c:v>
                </c:pt>
                <c:pt idx="7">
                  <c:v>66.404114000000007</c:v>
                </c:pt>
                <c:pt idx="8">
                  <c:v>61.918258999999999</c:v>
                </c:pt>
                <c:pt idx="9">
                  <c:v>71.538734000000005</c:v>
                </c:pt>
                <c:pt idx="10">
                  <c:v>77.416686999999996</c:v>
                </c:pt>
                <c:pt idx="11">
                  <c:v>89.067284000000001</c:v>
                </c:pt>
                <c:pt idx="12">
                  <c:v>103.77514600000001</c:v>
                </c:pt>
                <c:pt idx="13">
                  <c:v>126.022392</c:v>
                </c:pt>
                <c:pt idx="14">
                  <c:v>113.305725</c:v>
                </c:pt>
                <c:pt idx="15">
                  <c:v>106.506012</c:v>
                </c:pt>
                <c:pt idx="16">
                  <c:v>116.47566999999999</c:v>
                </c:pt>
                <c:pt idx="17">
                  <c:v>130.044647</c:v>
                </c:pt>
                <c:pt idx="18">
                  <c:v>129.32926900000001</c:v>
                </c:pt>
                <c:pt idx="19">
                  <c:v>118.842545</c:v>
                </c:pt>
                <c:pt idx="20">
                  <c:v>119.893715</c:v>
                </c:pt>
                <c:pt idx="21">
                  <c:v>129.031723</c:v>
                </c:pt>
                <c:pt idx="22">
                  <c:v>122.308273</c:v>
                </c:pt>
                <c:pt idx="23">
                  <c:v>134.65846300000001</c:v>
                </c:pt>
                <c:pt idx="24">
                  <c:v>143.40889000000001</c:v>
                </c:pt>
                <c:pt idx="25">
                  <c:v>149.278595</c:v>
                </c:pt>
                <c:pt idx="26">
                  <c:v>139.33062699999999</c:v>
                </c:pt>
                <c:pt idx="27">
                  <c:v>147.50337200000001</c:v>
                </c:pt>
                <c:pt idx="28">
                  <c:v>162.765762</c:v>
                </c:pt>
                <c:pt idx="29">
                  <c:v>175.10279800000001</c:v>
                </c:pt>
                <c:pt idx="30">
                  <c:v>172.35157799999999</c:v>
                </c:pt>
                <c:pt idx="31">
                  <c:v>162.82577499999999</c:v>
                </c:pt>
                <c:pt idx="32">
                  <c:v>172.40330499999999</c:v>
                </c:pt>
                <c:pt idx="33">
                  <c:v>155.65765400000001</c:v>
                </c:pt>
                <c:pt idx="34">
                  <c:v>146.95898399999999</c:v>
                </c:pt>
                <c:pt idx="35">
                  <c:v>135.19046</c:v>
                </c:pt>
                <c:pt idx="36">
                  <c:v>160.691971</c:v>
                </c:pt>
                <c:pt idx="37">
                  <c:v>155.46118200000001</c:v>
                </c:pt>
                <c:pt idx="38">
                  <c:v>136.84375</c:v>
                </c:pt>
                <c:pt idx="39">
                  <c:v>151.835159</c:v>
                </c:pt>
                <c:pt idx="40">
                  <c:v>146.577271</c:v>
                </c:pt>
                <c:pt idx="41">
                  <c:v>128.86833200000001</c:v>
                </c:pt>
                <c:pt idx="42">
                  <c:v>143.11097699999999</c:v>
                </c:pt>
                <c:pt idx="43">
                  <c:v>146.20550499999999</c:v>
                </c:pt>
                <c:pt idx="44">
                  <c:v>163.80230700000001</c:v>
                </c:pt>
                <c:pt idx="45">
                  <c:v>168.55049099999999</c:v>
                </c:pt>
                <c:pt idx="46">
                  <c:v>176.07011399999999</c:v>
                </c:pt>
                <c:pt idx="47">
                  <c:v>192.945313</c:v>
                </c:pt>
                <c:pt idx="48">
                  <c:v>195.41220100000001</c:v>
                </c:pt>
                <c:pt idx="49">
                  <c:v>186.87754799999999</c:v>
                </c:pt>
                <c:pt idx="50">
                  <c:v>170.535538</c:v>
                </c:pt>
                <c:pt idx="51">
                  <c:v>170.09726000000001</c:v>
                </c:pt>
                <c:pt idx="52">
                  <c:v>189.20169100000001</c:v>
                </c:pt>
                <c:pt idx="53">
                  <c:v>192.02418499999999</c:v>
                </c:pt>
                <c:pt idx="54">
                  <c:v>183.91554300000001</c:v>
                </c:pt>
                <c:pt idx="55">
                  <c:v>180.27513099999999</c:v>
                </c:pt>
                <c:pt idx="56">
                  <c:v>171.247726</c:v>
                </c:pt>
                <c:pt idx="57">
                  <c:v>170.099289</c:v>
                </c:pt>
                <c:pt idx="58">
                  <c:v>191.98959400000001</c:v>
                </c:pt>
                <c:pt idx="59">
                  <c:v>194.479996</c:v>
                </c:pt>
                <c:pt idx="60">
                  <c:v>196.88999899999999</c:v>
                </c:pt>
              </c:numCache>
            </c:numRef>
          </c:val>
          <c:smooth val="0"/>
          <c:extLst>
            <c:ext xmlns:c16="http://schemas.microsoft.com/office/drawing/2014/chart" uri="{C3380CC4-5D6E-409C-BE32-E72D297353CC}">
              <c16:uniqueId val="{00000000-BD62-4E5D-A56B-60B0ADC6DCB9}"/>
            </c:ext>
          </c:extLst>
        </c:ser>
        <c:dLbls>
          <c:showLegendKey val="0"/>
          <c:showVal val="0"/>
          <c:showCatName val="0"/>
          <c:showSerName val="0"/>
          <c:showPercent val="0"/>
          <c:showBubbleSize val="0"/>
        </c:dLbls>
        <c:smooth val="0"/>
        <c:axId val="1555237728"/>
        <c:axId val="1555233888"/>
      </c:lineChart>
      <c:catAx>
        <c:axId val="1555237728"/>
        <c:scaling>
          <c:orientation val="minMax"/>
        </c:scaling>
        <c:delete val="1"/>
        <c:axPos val="b"/>
        <c:numFmt formatCode="General" sourceLinked="1"/>
        <c:majorTickMark val="none"/>
        <c:minorTickMark val="none"/>
        <c:tickLblPos val="nextTo"/>
        <c:crossAx val="1555233888"/>
        <c:crossesAt val="0"/>
        <c:auto val="1"/>
        <c:lblAlgn val="ctr"/>
        <c:lblOffset val="100"/>
        <c:noMultiLvlLbl val="0"/>
      </c:catAx>
      <c:valAx>
        <c:axId val="1555233888"/>
        <c:scaling>
          <c:orientation val="minMax"/>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5237728"/>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Forecasting - Apple Inc.</a:t>
            </a:r>
            <a:endParaRPr lang="en-US"/>
          </a:p>
        </c:rich>
      </c:tx>
      <c:overlay val="0"/>
      <c:spPr>
        <a:noFill/>
        <a:ln>
          <a:noFill/>
        </a:ln>
        <a:effectLst/>
      </c:spPr>
    </c:title>
    <c:autoTitleDeleted val="0"/>
    <c:plotArea>
      <c:layout>
        <c:manualLayout>
          <c:layoutTarget val="inner"/>
          <c:xMode val="edge"/>
          <c:yMode val="edge"/>
          <c:x val="0.15618623231078382"/>
          <c:y val="0.1511057108140948"/>
          <c:w val="0.83103369981605024"/>
          <c:h val="0.80415533720496357"/>
        </c:manualLayout>
      </c:layout>
      <c:lineChart>
        <c:grouping val="standard"/>
        <c:varyColors val="0"/>
        <c:ser>
          <c:idx val="1"/>
          <c:order val="0"/>
          <c:tx>
            <c:strRef>
              <c:f>'Specific Forecasts'!$E$8</c:f>
              <c:strCache>
                <c:ptCount val="1"/>
              </c:strCache>
            </c:strRef>
          </c:tx>
          <c:marker>
            <c:symbol val="none"/>
          </c:marker>
          <c:cat>
            <c:numRef>
              <c:f>'Specific Forecasts'!$C$8:$C$22</c:f>
              <c:numCache>
                <c:formatCode>0\A</c:formatCode>
                <c:ptCount val="15"/>
                <c:pt idx="0">
                  <c:v>2014</c:v>
                </c:pt>
                <c:pt idx="1">
                  <c:v>2015</c:v>
                </c:pt>
                <c:pt idx="2">
                  <c:v>2016</c:v>
                </c:pt>
                <c:pt idx="3">
                  <c:v>2017</c:v>
                </c:pt>
                <c:pt idx="4">
                  <c:v>2018</c:v>
                </c:pt>
                <c:pt idx="5">
                  <c:v>2019</c:v>
                </c:pt>
                <c:pt idx="6">
                  <c:v>2020</c:v>
                </c:pt>
                <c:pt idx="7">
                  <c:v>2021</c:v>
                </c:pt>
                <c:pt idx="8">
                  <c:v>2022</c:v>
                </c:pt>
                <c:pt idx="9">
                  <c:v>2023</c:v>
                </c:pt>
                <c:pt idx="10" formatCode="0&quot;E&quot;">
                  <c:v>2024</c:v>
                </c:pt>
                <c:pt idx="11" formatCode="0&quot;E&quot;">
                  <c:v>2025</c:v>
                </c:pt>
                <c:pt idx="12" formatCode="0&quot;E&quot;">
                  <c:v>2026</c:v>
                </c:pt>
                <c:pt idx="13" formatCode="0&quot;E&quot;">
                  <c:v>2027</c:v>
                </c:pt>
                <c:pt idx="14" formatCode="0&quot;E&quot;">
                  <c:v>2028</c:v>
                </c:pt>
              </c:numCache>
            </c:numRef>
          </c:cat>
          <c:val>
            <c:numRef>
              <c:f>'Specific Forecasts'!$E$9:$E$22</c:f>
              <c:numCache>
                <c:formatCode>0.00%</c:formatCode>
                <c:ptCount val="14"/>
                <c:pt idx="0">
                  <c:v>0.27856341803659834</c:v>
                </c:pt>
                <c:pt idx="1">
                  <c:v>-7.7342061913013738E-2</c:v>
                </c:pt>
                <c:pt idx="2">
                  <c:v>6.304518199398057E-2</c:v>
                </c:pt>
                <c:pt idx="3">
                  <c:v>0.15861957650261305</c:v>
                </c:pt>
                <c:pt idx="4">
                  <c:v>-2.04107758052674E-2</c:v>
                </c:pt>
                <c:pt idx="5">
                  <c:v>5.5120803769784787E-2</c:v>
                </c:pt>
                <c:pt idx="6">
                  <c:v>0.33259384733074704</c:v>
                </c:pt>
                <c:pt idx="7">
                  <c:v>7.7937876041846099E-2</c:v>
                </c:pt>
                <c:pt idx="8">
                  <c:v>-2.800460530319937E-2</c:v>
                </c:pt>
                <c:pt idx="9">
                  <c:v>6.3203969196115928E-2</c:v>
                </c:pt>
                <c:pt idx="10">
                  <c:v>5.6663591871714436E-2</c:v>
                </c:pt>
                <c:pt idx="11">
                  <c:v>5.3625006395217722E-2</c:v>
                </c:pt>
                <c:pt idx="12">
                  <c:v>5.0895722927728704E-2</c:v>
                </c:pt>
                <c:pt idx="13">
                  <c:v>4.8430802235959858E-2</c:v>
                </c:pt>
              </c:numCache>
            </c:numRef>
          </c:val>
          <c:smooth val="0"/>
          <c:extLst>
            <c:ext xmlns:c16="http://schemas.microsoft.com/office/drawing/2014/chart" uri="{C3380CC4-5D6E-409C-BE32-E72D297353CC}">
              <c16:uniqueId val="{00000004-4134-47F1-BCF3-AE91BF3EA2B9}"/>
            </c:ext>
          </c:extLst>
        </c:ser>
        <c:ser>
          <c:idx val="0"/>
          <c:order val="1"/>
          <c:tx>
            <c:strRef>
              <c:f>'Specific Forecasts'!$E$8</c:f>
              <c:strCache>
                <c:ptCount val="1"/>
              </c:strCache>
            </c:strRef>
          </c:tx>
          <c:spPr>
            <a:ln w="28575" cap="rnd">
              <a:solidFill>
                <a:schemeClr val="accent1"/>
              </a:solidFill>
              <a:round/>
            </a:ln>
            <a:effectLst/>
          </c:spPr>
          <c:marker>
            <c:symbol val="none"/>
          </c:marker>
          <c:cat>
            <c:numRef>
              <c:f>'Specific Forecasts'!$C$8:$C$22</c:f>
              <c:numCache>
                <c:formatCode>0\A</c:formatCode>
                <c:ptCount val="15"/>
                <c:pt idx="0">
                  <c:v>2014</c:v>
                </c:pt>
                <c:pt idx="1">
                  <c:v>2015</c:v>
                </c:pt>
                <c:pt idx="2">
                  <c:v>2016</c:v>
                </c:pt>
                <c:pt idx="3">
                  <c:v>2017</c:v>
                </c:pt>
                <c:pt idx="4">
                  <c:v>2018</c:v>
                </c:pt>
                <c:pt idx="5">
                  <c:v>2019</c:v>
                </c:pt>
                <c:pt idx="6">
                  <c:v>2020</c:v>
                </c:pt>
                <c:pt idx="7">
                  <c:v>2021</c:v>
                </c:pt>
                <c:pt idx="8">
                  <c:v>2022</c:v>
                </c:pt>
                <c:pt idx="9">
                  <c:v>2023</c:v>
                </c:pt>
                <c:pt idx="10" formatCode="0&quot;E&quot;">
                  <c:v>2024</c:v>
                </c:pt>
                <c:pt idx="11" formatCode="0&quot;E&quot;">
                  <c:v>2025</c:v>
                </c:pt>
                <c:pt idx="12" formatCode="0&quot;E&quot;">
                  <c:v>2026</c:v>
                </c:pt>
                <c:pt idx="13" formatCode="0&quot;E&quot;">
                  <c:v>2027</c:v>
                </c:pt>
                <c:pt idx="14" formatCode="0&quot;E&quot;">
                  <c:v>2028</c:v>
                </c:pt>
              </c:numCache>
            </c:numRef>
          </c:cat>
          <c:val>
            <c:numRef>
              <c:f>'Specific Forecasts'!$E$9:$E$22</c:f>
              <c:numCache>
                <c:formatCode>0.00%</c:formatCode>
                <c:ptCount val="14"/>
                <c:pt idx="0">
                  <c:v>0.27856341803659834</c:v>
                </c:pt>
                <c:pt idx="1">
                  <c:v>-7.7342061913013738E-2</c:v>
                </c:pt>
                <c:pt idx="2">
                  <c:v>6.304518199398057E-2</c:v>
                </c:pt>
                <c:pt idx="3">
                  <c:v>0.15861957650261305</c:v>
                </c:pt>
                <c:pt idx="4">
                  <c:v>-2.04107758052674E-2</c:v>
                </c:pt>
                <c:pt idx="5">
                  <c:v>5.5120803769784787E-2</c:v>
                </c:pt>
                <c:pt idx="6">
                  <c:v>0.33259384733074704</c:v>
                </c:pt>
                <c:pt idx="7">
                  <c:v>7.7937876041846099E-2</c:v>
                </c:pt>
                <c:pt idx="8">
                  <c:v>-2.800460530319937E-2</c:v>
                </c:pt>
                <c:pt idx="9">
                  <c:v>6.3203969196115928E-2</c:v>
                </c:pt>
                <c:pt idx="10">
                  <c:v>5.6663591871714436E-2</c:v>
                </c:pt>
                <c:pt idx="11">
                  <c:v>5.3625006395217722E-2</c:v>
                </c:pt>
                <c:pt idx="12">
                  <c:v>5.0895722927728704E-2</c:v>
                </c:pt>
                <c:pt idx="13">
                  <c:v>4.8430802235959858E-2</c:v>
                </c:pt>
              </c:numCache>
            </c:numRef>
          </c:val>
          <c:smooth val="0"/>
          <c:extLst>
            <c:ext xmlns:c16="http://schemas.microsoft.com/office/drawing/2014/chart" uri="{C3380CC4-5D6E-409C-BE32-E72D297353CC}">
              <c16:uniqueId val="{00000003-4134-47F1-BCF3-AE91BF3EA2B9}"/>
            </c:ext>
          </c:extLst>
        </c:ser>
        <c:dLbls>
          <c:showLegendKey val="0"/>
          <c:showVal val="0"/>
          <c:showCatName val="0"/>
          <c:showSerName val="0"/>
          <c:showPercent val="0"/>
          <c:showBubbleSize val="0"/>
        </c:dLbls>
        <c:smooth val="0"/>
        <c:axId val="524784383"/>
        <c:axId val="524783423"/>
      </c:lineChart>
      <c:catAx>
        <c:axId val="52478438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Years</a:t>
                </a:r>
              </a:p>
            </c:rich>
          </c:tx>
          <c:overlay val="0"/>
          <c:spPr>
            <a:noFill/>
            <a:ln>
              <a:noFill/>
            </a:ln>
            <a:effectLst/>
          </c:spPr>
        </c:title>
        <c:numFmt formatCode="0\A"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4783423"/>
        <c:crosses val="autoZero"/>
        <c:auto val="1"/>
        <c:lblAlgn val="ctr"/>
        <c:lblOffset val="100"/>
        <c:noMultiLvlLbl val="0"/>
      </c:catAx>
      <c:valAx>
        <c:axId val="524783423"/>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Sales Growth</a:t>
                </a:r>
              </a:p>
            </c:rich>
          </c:tx>
          <c:overlay val="0"/>
          <c:spPr>
            <a:noFill/>
            <a:ln>
              <a:noFill/>
            </a:ln>
            <a:effectLst/>
          </c:sp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4784383"/>
        <c:crosses val="autoZero"/>
        <c:crossBetween val="between"/>
      </c:valAx>
    </c:plotArea>
    <c:plotVisOnly val="1"/>
    <c:dispBlanksAs val="gap"/>
    <c:showDLblsOverMax val="0"/>
    <c:extLst/>
  </c:chart>
  <c:spPr>
    <a:ln>
      <a:noFill/>
    </a:ln>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EBITDA Forecasting - Apple Inc.</a:t>
            </a:r>
          </a:p>
        </c:rich>
      </c:tx>
      <c:overlay val="0"/>
      <c:spPr>
        <a:noFill/>
        <a:ln>
          <a:noFill/>
        </a:ln>
        <a:effectLst/>
      </c:spPr>
    </c:title>
    <c:autoTitleDeleted val="0"/>
    <c:plotArea>
      <c:layout>
        <c:manualLayout>
          <c:layoutTarget val="inner"/>
          <c:xMode val="edge"/>
          <c:yMode val="edge"/>
          <c:x val="0.16790099154272387"/>
          <c:y val="0.18203680981595091"/>
          <c:w val="0.81873675512783117"/>
          <c:h val="0.76397546012269935"/>
        </c:manualLayout>
      </c:layout>
      <c:lineChart>
        <c:grouping val="standard"/>
        <c:varyColors val="0"/>
        <c:ser>
          <c:idx val="1"/>
          <c:order val="0"/>
          <c:tx>
            <c:strRef>
              <c:f>'Specific Forecasts'!$J$8</c:f>
              <c:strCache>
                <c:ptCount val="1"/>
              </c:strCache>
            </c:strRef>
          </c:tx>
          <c:marker>
            <c:symbol val="none"/>
          </c:marker>
          <c:cat>
            <c:numRef>
              <c:f>'Specific Forecasts'!$H$8:$H$22</c:f>
              <c:numCache>
                <c:formatCode>0\A</c:formatCode>
                <c:ptCount val="15"/>
                <c:pt idx="0">
                  <c:v>2014</c:v>
                </c:pt>
                <c:pt idx="1">
                  <c:v>2015</c:v>
                </c:pt>
                <c:pt idx="2">
                  <c:v>2016</c:v>
                </c:pt>
                <c:pt idx="3">
                  <c:v>2017</c:v>
                </c:pt>
                <c:pt idx="4">
                  <c:v>2018</c:v>
                </c:pt>
                <c:pt idx="5">
                  <c:v>2019</c:v>
                </c:pt>
                <c:pt idx="6">
                  <c:v>2020</c:v>
                </c:pt>
                <c:pt idx="7">
                  <c:v>2021</c:v>
                </c:pt>
                <c:pt idx="8">
                  <c:v>2022</c:v>
                </c:pt>
                <c:pt idx="9">
                  <c:v>2023</c:v>
                </c:pt>
                <c:pt idx="10" formatCode="0&quot;E&quot;">
                  <c:v>2024</c:v>
                </c:pt>
                <c:pt idx="11" formatCode="0&quot;E&quot;">
                  <c:v>2025</c:v>
                </c:pt>
                <c:pt idx="12" formatCode="0&quot;E&quot;">
                  <c:v>2026</c:v>
                </c:pt>
                <c:pt idx="13" formatCode="0&quot;E&quot;">
                  <c:v>2027</c:v>
                </c:pt>
                <c:pt idx="14" formatCode="0&quot;E&quot;">
                  <c:v>2028</c:v>
                </c:pt>
              </c:numCache>
            </c:numRef>
          </c:cat>
          <c:val>
            <c:numRef>
              <c:f>'Specific Forecasts'!$J$9:$J$22</c:f>
              <c:numCache>
                <c:formatCode>0.00%</c:formatCode>
                <c:ptCount val="14"/>
                <c:pt idx="0">
                  <c:v>0.36795902205597408</c:v>
                </c:pt>
                <c:pt idx="1">
                  <c:v>-0.13127717491716651</c:v>
                </c:pt>
                <c:pt idx="2">
                  <c:v>1.378156502998773E-2</c:v>
                </c:pt>
                <c:pt idx="3">
                  <c:v>0.14405392931567396</c:v>
                </c:pt>
                <c:pt idx="4">
                  <c:v>-6.5084778914683228E-2</c:v>
                </c:pt>
                <c:pt idx="5">
                  <c:v>1.1336741765498148E-2</c:v>
                </c:pt>
                <c:pt idx="6">
                  <c:v>0.55452265204799334</c:v>
                </c:pt>
                <c:pt idx="7">
                  <c:v>8.5733534054710514E-2</c:v>
                </c:pt>
                <c:pt idx="8">
                  <c:v>-3.6164883063558584E-2</c:v>
                </c:pt>
                <c:pt idx="9">
                  <c:v>3.025168229746189E-2</c:v>
                </c:pt>
                <c:pt idx="10">
                  <c:v>5.6313034946995133E-2</c:v>
                </c:pt>
                <c:pt idx="11">
                  <c:v>5.3310934433201229E-2</c:v>
                </c:pt>
                <c:pt idx="12">
                  <c:v>5.0612722882145134E-2</c:v>
                </c:pt>
                <c:pt idx="13">
                  <c:v>4.817448121444734E-2</c:v>
                </c:pt>
              </c:numCache>
            </c:numRef>
          </c:val>
          <c:smooth val="0"/>
          <c:extLst>
            <c:ext xmlns:c16="http://schemas.microsoft.com/office/drawing/2014/chart" uri="{C3380CC4-5D6E-409C-BE32-E72D297353CC}">
              <c16:uniqueId val="{00000005-A4E1-4FF9-9E13-79329039E8E7}"/>
            </c:ext>
          </c:extLst>
        </c:ser>
        <c:ser>
          <c:idx val="0"/>
          <c:order val="1"/>
          <c:tx>
            <c:strRef>
              <c:f>'Specific Forecasts'!$J$8</c:f>
              <c:strCache>
                <c:ptCount val="1"/>
              </c:strCache>
            </c:strRef>
          </c:tx>
          <c:spPr>
            <a:ln w="28575" cap="rnd">
              <a:solidFill>
                <a:schemeClr val="accent1"/>
              </a:solidFill>
              <a:round/>
            </a:ln>
            <a:effectLst/>
          </c:spPr>
          <c:marker>
            <c:symbol val="none"/>
          </c:marker>
          <c:cat>
            <c:numRef>
              <c:f>'Specific Forecasts'!$H$8:$H$22</c:f>
              <c:numCache>
                <c:formatCode>0\A</c:formatCode>
                <c:ptCount val="15"/>
                <c:pt idx="0">
                  <c:v>2014</c:v>
                </c:pt>
                <c:pt idx="1">
                  <c:v>2015</c:v>
                </c:pt>
                <c:pt idx="2">
                  <c:v>2016</c:v>
                </c:pt>
                <c:pt idx="3">
                  <c:v>2017</c:v>
                </c:pt>
                <c:pt idx="4">
                  <c:v>2018</c:v>
                </c:pt>
                <c:pt idx="5">
                  <c:v>2019</c:v>
                </c:pt>
                <c:pt idx="6">
                  <c:v>2020</c:v>
                </c:pt>
                <c:pt idx="7">
                  <c:v>2021</c:v>
                </c:pt>
                <c:pt idx="8">
                  <c:v>2022</c:v>
                </c:pt>
                <c:pt idx="9">
                  <c:v>2023</c:v>
                </c:pt>
                <c:pt idx="10" formatCode="0&quot;E&quot;">
                  <c:v>2024</c:v>
                </c:pt>
                <c:pt idx="11" formatCode="0&quot;E&quot;">
                  <c:v>2025</c:v>
                </c:pt>
                <c:pt idx="12" formatCode="0&quot;E&quot;">
                  <c:v>2026</c:v>
                </c:pt>
                <c:pt idx="13" formatCode="0&quot;E&quot;">
                  <c:v>2027</c:v>
                </c:pt>
                <c:pt idx="14" formatCode="0&quot;E&quot;">
                  <c:v>2028</c:v>
                </c:pt>
              </c:numCache>
            </c:numRef>
          </c:cat>
          <c:val>
            <c:numRef>
              <c:f>'Specific Forecasts'!$J$9:$J$22</c:f>
              <c:numCache>
                <c:formatCode>0.00%</c:formatCode>
                <c:ptCount val="14"/>
                <c:pt idx="0">
                  <c:v>0.36795902205597408</c:v>
                </c:pt>
                <c:pt idx="1">
                  <c:v>-0.13127717491716651</c:v>
                </c:pt>
                <c:pt idx="2">
                  <c:v>1.378156502998773E-2</c:v>
                </c:pt>
                <c:pt idx="3">
                  <c:v>0.14405392931567396</c:v>
                </c:pt>
                <c:pt idx="4">
                  <c:v>-6.5084778914683228E-2</c:v>
                </c:pt>
                <c:pt idx="5">
                  <c:v>1.1336741765498148E-2</c:v>
                </c:pt>
                <c:pt idx="6">
                  <c:v>0.55452265204799334</c:v>
                </c:pt>
                <c:pt idx="7">
                  <c:v>8.5733534054710514E-2</c:v>
                </c:pt>
                <c:pt idx="8">
                  <c:v>-3.6164883063558584E-2</c:v>
                </c:pt>
                <c:pt idx="9">
                  <c:v>3.025168229746189E-2</c:v>
                </c:pt>
                <c:pt idx="10">
                  <c:v>5.6313034946995133E-2</c:v>
                </c:pt>
                <c:pt idx="11">
                  <c:v>5.3310934433201229E-2</c:v>
                </c:pt>
                <c:pt idx="12">
                  <c:v>5.0612722882145134E-2</c:v>
                </c:pt>
                <c:pt idx="13">
                  <c:v>4.817448121444734E-2</c:v>
                </c:pt>
              </c:numCache>
            </c:numRef>
          </c:val>
          <c:smooth val="0"/>
          <c:extLst>
            <c:ext xmlns:c16="http://schemas.microsoft.com/office/drawing/2014/chart" uri="{C3380CC4-5D6E-409C-BE32-E72D297353CC}">
              <c16:uniqueId val="{00000004-A4E1-4FF9-9E13-79329039E8E7}"/>
            </c:ext>
          </c:extLst>
        </c:ser>
        <c:dLbls>
          <c:showLegendKey val="0"/>
          <c:showVal val="0"/>
          <c:showCatName val="0"/>
          <c:showSerName val="0"/>
          <c:showPercent val="0"/>
          <c:showBubbleSize val="0"/>
        </c:dLbls>
        <c:smooth val="0"/>
        <c:axId val="54766912"/>
        <c:axId val="54751072"/>
      </c:lineChart>
      <c:catAx>
        <c:axId val="5476691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Years</a:t>
                </a:r>
              </a:p>
            </c:rich>
          </c:tx>
          <c:overlay val="0"/>
          <c:spPr>
            <a:noFill/>
            <a:ln>
              <a:noFill/>
            </a:ln>
            <a:effectLst/>
          </c:spPr>
        </c:title>
        <c:numFmt formatCode="0\A"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751072"/>
        <c:crosses val="autoZero"/>
        <c:auto val="1"/>
        <c:lblAlgn val="ctr"/>
        <c:lblOffset val="100"/>
        <c:noMultiLvlLbl val="0"/>
      </c:catAx>
      <c:valAx>
        <c:axId val="5475107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Sales Growth</a:t>
                </a:r>
              </a:p>
            </c:rich>
          </c:tx>
          <c:overlay val="0"/>
          <c:spPr>
            <a:noFill/>
            <a:ln>
              <a:noFill/>
            </a:ln>
            <a:effectLst/>
          </c:sp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766912"/>
        <c:crosses val="autoZero"/>
        <c:crossBetween val="between"/>
      </c:valAx>
    </c:plotArea>
    <c:plotVisOnly val="1"/>
    <c:dispBlanksAs val="gap"/>
    <c:showDLblsOverMax val="0"/>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EPS Forecasting</a:t>
            </a:r>
            <a:r>
              <a:rPr lang="en-US" baseline="0"/>
              <a:t> - Apple Inc.</a:t>
            </a:r>
            <a:endParaRPr lang="en-US"/>
          </a:p>
        </c:rich>
      </c:tx>
      <c:overlay val="0"/>
      <c:spPr>
        <a:noFill/>
        <a:ln>
          <a:noFill/>
        </a:ln>
        <a:effectLst/>
      </c:spPr>
    </c:title>
    <c:autoTitleDeleted val="0"/>
    <c:plotArea>
      <c:layout>
        <c:manualLayout>
          <c:layoutTarget val="inner"/>
          <c:xMode val="edge"/>
          <c:yMode val="edge"/>
          <c:x val="0.17839151187182684"/>
          <c:y val="0.15782407407407409"/>
          <c:w val="0.80633034384215485"/>
          <c:h val="0.776411854768154"/>
        </c:manualLayout>
      </c:layout>
      <c:lineChart>
        <c:grouping val="standard"/>
        <c:varyColors val="0"/>
        <c:ser>
          <c:idx val="1"/>
          <c:order val="0"/>
          <c:tx>
            <c:strRef>
              <c:f>'Specific Forecasts'!$O$8</c:f>
              <c:strCache>
                <c:ptCount val="1"/>
              </c:strCache>
            </c:strRef>
          </c:tx>
          <c:marker>
            <c:symbol val="none"/>
          </c:marker>
          <c:cat>
            <c:numRef>
              <c:f>'Specific Forecasts'!$M$8:$M$23</c:f>
              <c:numCache>
                <c:formatCode>0\A</c:formatCode>
                <c:ptCount val="16"/>
                <c:pt idx="0">
                  <c:v>2014</c:v>
                </c:pt>
                <c:pt idx="1">
                  <c:v>2015</c:v>
                </c:pt>
                <c:pt idx="2">
                  <c:v>2016</c:v>
                </c:pt>
                <c:pt idx="3">
                  <c:v>2017</c:v>
                </c:pt>
                <c:pt idx="4">
                  <c:v>2018</c:v>
                </c:pt>
                <c:pt idx="5">
                  <c:v>2019</c:v>
                </c:pt>
                <c:pt idx="6">
                  <c:v>2020</c:v>
                </c:pt>
                <c:pt idx="7">
                  <c:v>2021</c:v>
                </c:pt>
                <c:pt idx="8">
                  <c:v>2022</c:v>
                </c:pt>
                <c:pt idx="9">
                  <c:v>2023</c:v>
                </c:pt>
                <c:pt idx="10" formatCode="0&quot;E&quot;">
                  <c:v>2024</c:v>
                </c:pt>
                <c:pt idx="11" formatCode="0&quot;E&quot;">
                  <c:v>2025</c:v>
                </c:pt>
                <c:pt idx="12" formatCode="0&quot;E&quot;">
                  <c:v>2026</c:v>
                </c:pt>
                <c:pt idx="13" formatCode="0&quot;E&quot;">
                  <c:v>2027</c:v>
                </c:pt>
                <c:pt idx="14" formatCode="0&quot;E&quot;">
                  <c:v>2028</c:v>
                </c:pt>
              </c:numCache>
            </c:numRef>
          </c:cat>
          <c:val>
            <c:numRef>
              <c:f>'Specific Forecasts'!$O$9:$O$22</c:f>
              <c:numCache>
                <c:formatCode>0.00%</c:formatCode>
                <c:ptCount val="14"/>
                <c:pt idx="0">
                  <c:v>0.42102681214672244</c:v>
                </c:pt>
                <c:pt idx="1">
                  <c:v>-0.10544306629590738</c:v>
                </c:pt>
                <c:pt idx="2">
                  <c:v>0.10165730758096347</c:v>
                </c:pt>
                <c:pt idx="3">
                  <c:v>0.32734587855751029</c:v>
                </c:pt>
                <c:pt idx="4">
                  <c:v>-6.6869835248479781E-3</c:v>
                </c:pt>
                <c:pt idx="5">
                  <c:v>8.7727616999602853E-2</c:v>
                </c:pt>
                <c:pt idx="6">
                  <c:v>0.70437605493739763</c:v>
                </c:pt>
                <c:pt idx="7">
                  <c:v>8.6066262608956778E-2</c:v>
                </c:pt>
                <c:pt idx="8">
                  <c:v>-3.5505369967202549E-3</c:v>
                </c:pt>
                <c:pt idx="9">
                  <c:v>6.1258198493438165E-2</c:v>
                </c:pt>
                <c:pt idx="10">
                  <c:v>8.1684948011389258E-2</c:v>
                </c:pt>
                <c:pt idx="11">
                  <c:v>7.5516395195811992E-2</c:v>
                </c:pt>
                <c:pt idx="12">
                  <c:v>7.0214080913256094E-2</c:v>
                </c:pt>
                <c:pt idx="13">
                  <c:v>6.5607509904316519E-2</c:v>
                </c:pt>
              </c:numCache>
            </c:numRef>
          </c:val>
          <c:smooth val="0"/>
          <c:extLst>
            <c:ext xmlns:c16="http://schemas.microsoft.com/office/drawing/2014/chart" uri="{C3380CC4-5D6E-409C-BE32-E72D297353CC}">
              <c16:uniqueId val="{00000003-CD10-416B-BF85-6777EB326C52}"/>
            </c:ext>
          </c:extLst>
        </c:ser>
        <c:ser>
          <c:idx val="0"/>
          <c:order val="1"/>
          <c:tx>
            <c:strRef>
              <c:f>'Specific Forecasts'!$O$8</c:f>
              <c:strCache>
                <c:ptCount val="1"/>
              </c:strCache>
            </c:strRef>
          </c:tx>
          <c:spPr>
            <a:ln w="28575" cap="rnd">
              <a:solidFill>
                <a:schemeClr val="accent1"/>
              </a:solidFill>
              <a:round/>
            </a:ln>
            <a:effectLst/>
          </c:spPr>
          <c:marker>
            <c:symbol val="none"/>
          </c:marker>
          <c:cat>
            <c:numRef>
              <c:f>'Specific Forecasts'!$M$8:$M$23</c:f>
              <c:numCache>
                <c:formatCode>0\A</c:formatCode>
                <c:ptCount val="16"/>
                <c:pt idx="0">
                  <c:v>2014</c:v>
                </c:pt>
                <c:pt idx="1">
                  <c:v>2015</c:v>
                </c:pt>
                <c:pt idx="2">
                  <c:v>2016</c:v>
                </c:pt>
                <c:pt idx="3">
                  <c:v>2017</c:v>
                </c:pt>
                <c:pt idx="4">
                  <c:v>2018</c:v>
                </c:pt>
                <c:pt idx="5">
                  <c:v>2019</c:v>
                </c:pt>
                <c:pt idx="6">
                  <c:v>2020</c:v>
                </c:pt>
                <c:pt idx="7">
                  <c:v>2021</c:v>
                </c:pt>
                <c:pt idx="8">
                  <c:v>2022</c:v>
                </c:pt>
                <c:pt idx="9">
                  <c:v>2023</c:v>
                </c:pt>
                <c:pt idx="10" formatCode="0&quot;E&quot;">
                  <c:v>2024</c:v>
                </c:pt>
                <c:pt idx="11" formatCode="0&quot;E&quot;">
                  <c:v>2025</c:v>
                </c:pt>
                <c:pt idx="12" formatCode="0&quot;E&quot;">
                  <c:v>2026</c:v>
                </c:pt>
                <c:pt idx="13" formatCode="0&quot;E&quot;">
                  <c:v>2027</c:v>
                </c:pt>
                <c:pt idx="14" formatCode="0&quot;E&quot;">
                  <c:v>2028</c:v>
                </c:pt>
              </c:numCache>
            </c:numRef>
          </c:cat>
          <c:val>
            <c:numRef>
              <c:f>'Specific Forecasts'!$O$9:$O$22</c:f>
              <c:numCache>
                <c:formatCode>0.00%</c:formatCode>
                <c:ptCount val="14"/>
                <c:pt idx="0">
                  <c:v>0.42102681214672244</c:v>
                </c:pt>
                <c:pt idx="1">
                  <c:v>-0.10544306629590738</c:v>
                </c:pt>
                <c:pt idx="2">
                  <c:v>0.10165730758096347</c:v>
                </c:pt>
                <c:pt idx="3">
                  <c:v>0.32734587855751029</c:v>
                </c:pt>
                <c:pt idx="4">
                  <c:v>-6.6869835248479781E-3</c:v>
                </c:pt>
                <c:pt idx="5">
                  <c:v>8.7727616999602853E-2</c:v>
                </c:pt>
                <c:pt idx="6">
                  <c:v>0.70437605493739763</c:v>
                </c:pt>
                <c:pt idx="7">
                  <c:v>8.6066262608956778E-2</c:v>
                </c:pt>
                <c:pt idx="8">
                  <c:v>-3.5505369967202549E-3</c:v>
                </c:pt>
                <c:pt idx="9">
                  <c:v>6.1258198493438165E-2</c:v>
                </c:pt>
                <c:pt idx="10">
                  <c:v>8.1684948011389258E-2</c:v>
                </c:pt>
                <c:pt idx="11">
                  <c:v>7.5516395195811992E-2</c:v>
                </c:pt>
                <c:pt idx="12">
                  <c:v>7.0214080913256094E-2</c:v>
                </c:pt>
                <c:pt idx="13">
                  <c:v>6.5607509904316519E-2</c:v>
                </c:pt>
              </c:numCache>
            </c:numRef>
          </c:val>
          <c:smooth val="0"/>
          <c:extLst>
            <c:ext xmlns:c16="http://schemas.microsoft.com/office/drawing/2014/chart" uri="{C3380CC4-5D6E-409C-BE32-E72D297353CC}">
              <c16:uniqueId val="{00000002-CD10-416B-BF85-6777EB326C52}"/>
            </c:ext>
          </c:extLst>
        </c:ser>
        <c:dLbls>
          <c:showLegendKey val="0"/>
          <c:showVal val="0"/>
          <c:showCatName val="0"/>
          <c:showSerName val="0"/>
          <c:showPercent val="0"/>
          <c:showBubbleSize val="0"/>
        </c:dLbls>
        <c:smooth val="0"/>
        <c:axId val="1861291055"/>
        <c:axId val="1861277135"/>
      </c:lineChart>
      <c:catAx>
        <c:axId val="186129105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Years</a:t>
                </a:r>
              </a:p>
            </c:rich>
          </c:tx>
          <c:overlay val="0"/>
          <c:spPr>
            <a:noFill/>
            <a:ln>
              <a:noFill/>
            </a:ln>
            <a:effectLst/>
          </c:spPr>
        </c:title>
        <c:numFmt formatCode="0\A"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1277135"/>
        <c:crosses val="autoZero"/>
        <c:auto val="1"/>
        <c:lblAlgn val="ctr"/>
        <c:lblOffset val="100"/>
        <c:noMultiLvlLbl val="0"/>
      </c:catAx>
      <c:valAx>
        <c:axId val="1861277135"/>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Sales Growth</a:t>
                </a:r>
              </a:p>
            </c:rich>
          </c:tx>
          <c:overlay val="0"/>
          <c:spPr>
            <a:noFill/>
            <a:ln>
              <a:noFill/>
            </a:ln>
            <a:effectLst/>
          </c:sp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1291055"/>
        <c:crosses val="autoZero"/>
        <c:crossBetween val="between"/>
      </c:valAx>
      <c:spPr>
        <a:ln>
          <a:noFill/>
        </a:ln>
      </c:spPr>
    </c:plotArea>
    <c:plotVisOnly val="1"/>
    <c:dispBlanksAs val="gap"/>
    <c:showDLblsOverMax val="0"/>
    <c:extLst/>
  </c:chart>
  <c:spPr>
    <a:ln>
      <a:noFill/>
    </a:ln>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title>
      <c:tx>
        <c:rich>
          <a:bodyPr rot="0" spcFirstLastPara="1" vertOverflow="ellipsis" vert="horz" wrap="square" anchor="ctr" anchorCtr="1"/>
          <a:lstStyle/>
          <a:p>
            <a:pPr>
              <a:defRPr sz="800" b="0" i="0" u="none" strike="noStrike" kern="1200" spc="0" baseline="0">
                <a:solidFill>
                  <a:schemeClr val="tx1">
                    <a:lumMod val="65000"/>
                    <a:lumOff val="35000"/>
                  </a:schemeClr>
                </a:solidFill>
                <a:latin typeface="+mn-lt"/>
                <a:ea typeface="+mn-ea"/>
                <a:cs typeface="+mn-cs"/>
              </a:defRPr>
            </a:pPr>
            <a:r>
              <a:rPr lang="en-US" sz="800"/>
              <a:t>Net Profit</a:t>
            </a:r>
            <a:r>
              <a:rPr lang="en-US" sz="800" baseline="0"/>
              <a:t> - Apple Inc.</a:t>
            </a:r>
            <a:endParaRPr lang="en-US" sz="800"/>
          </a:p>
        </c:rich>
      </c:tx>
      <c:overlay val="0"/>
      <c:spPr>
        <a:noFill/>
        <a:ln>
          <a:noFill/>
        </a:ln>
        <a:effectLst/>
      </c:spPr>
      <c:txPr>
        <a:bodyPr rot="0" spcFirstLastPara="1" vertOverflow="ellipsis" vert="horz" wrap="square" anchor="ctr" anchorCtr="1"/>
        <a:lstStyle/>
        <a:p>
          <a:pPr>
            <a:defRPr sz="8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4.2263876817704209E-2"/>
          <c:y val="0.14428761651131825"/>
          <c:w val="0.91897002166327235"/>
          <c:h val="0.73215303479874616"/>
        </c:manualLayout>
      </c:layout>
      <c:barChart>
        <c:barDir val="col"/>
        <c:grouping val="clustered"/>
        <c:varyColors val="0"/>
        <c:ser>
          <c:idx val="0"/>
          <c:order val="0"/>
          <c:spPr>
            <a:solidFill>
              <a:schemeClr val="dk1">
                <a:tint val="885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'Dupont Analysis'!$G$40:$K$40</c:f>
              <c:numCache>
                <c:formatCode>0"A"</c:formatCode>
                <c:ptCount val="5"/>
                <c:pt idx="0">
                  <c:v>2019</c:v>
                </c:pt>
                <c:pt idx="1">
                  <c:v>2020</c:v>
                </c:pt>
                <c:pt idx="2">
                  <c:v>2021</c:v>
                </c:pt>
                <c:pt idx="3">
                  <c:v>2022</c:v>
                </c:pt>
                <c:pt idx="4">
                  <c:v>2023</c:v>
                </c:pt>
              </c:numCache>
            </c:numRef>
          </c:cat>
          <c:val>
            <c:numRef>
              <c:f>'Dupont Analysis'!$G$41:$K$41</c:f>
              <c:numCache>
                <c:formatCode>\$#,##0</c:formatCode>
                <c:ptCount val="5"/>
                <c:pt idx="0">
                  <c:v>55256</c:v>
                </c:pt>
                <c:pt idx="1">
                  <c:v>57411</c:v>
                </c:pt>
                <c:pt idx="2">
                  <c:v>94680</c:v>
                </c:pt>
                <c:pt idx="3">
                  <c:v>99803</c:v>
                </c:pt>
                <c:pt idx="4">
                  <c:v>96995</c:v>
                </c:pt>
              </c:numCache>
            </c:numRef>
          </c:val>
          <c:extLst>
            <c:ext xmlns:c16="http://schemas.microsoft.com/office/drawing/2014/chart" uri="{C3380CC4-5D6E-409C-BE32-E72D297353CC}">
              <c16:uniqueId val="{00000000-8C5A-4327-AA08-65AE009B023E}"/>
            </c:ext>
          </c:extLst>
        </c:ser>
        <c:dLbls>
          <c:dLblPos val="outEnd"/>
          <c:showLegendKey val="0"/>
          <c:showVal val="1"/>
          <c:showCatName val="0"/>
          <c:showSerName val="0"/>
          <c:showPercent val="0"/>
          <c:showBubbleSize val="0"/>
        </c:dLbls>
        <c:gapWidth val="219"/>
        <c:overlap val="-27"/>
        <c:axId val="1208965247"/>
        <c:axId val="1208966207"/>
      </c:barChart>
      <c:catAx>
        <c:axId val="1208965247"/>
        <c:scaling>
          <c:orientation val="minMax"/>
        </c:scaling>
        <c:delete val="0"/>
        <c:axPos val="b"/>
        <c:numFmt formatCode="0&quot;A&quot;"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1208966207"/>
        <c:crosses val="autoZero"/>
        <c:auto val="1"/>
        <c:lblAlgn val="ctr"/>
        <c:lblOffset val="100"/>
        <c:noMultiLvlLbl val="0"/>
      </c:catAx>
      <c:valAx>
        <c:axId val="1208966207"/>
        <c:scaling>
          <c:orientation val="minMax"/>
        </c:scaling>
        <c:delete val="1"/>
        <c:axPos val="l"/>
        <c:numFmt formatCode="\$#,##0" sourceLinked="1"/>
        <c:majorTickMark val="none"/>
        <c:minorTickMark val="none"/>
        <c:tickLblPos val="nextTo"/>
        <c:crossAx val="1208965247"/>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title>
      <c:tx>
        <c:rich>
          <a:bodyPr rot="0" spcFirstLastPara="1" vertOverflow="ellipsis" vert="horz" wrap="square" anchor="ctr" anchorCtr="1"/>
          <a:lstStyle/>
          <a:p>
            <a:pPr>
              <a:defRPr sz="800" b="0" i="0" u="none" strike="noStrike" kern="1200" spc="0" baseline="0">
                <a:solidFill>
                  <a:schemeClr val="tx1">
                    <a:lumMod val="65000"/>
                    <a:lumOff val="35000"/>
                  </a:schemeClr>
                </a:solidFill>
                <a:latin typeface="+mn-lt"/>
                <a:ea typeface="+mn-ea"/>
                <a:cs typeface="+mn-cs"/>
              </a:defRPr>
            </a:pPr>
            <a:r>
              <a:rPr lang="en-US" sz="800"/>
              <a:t>Avg</a:t>
            </a:r>
            <a:r>
              <a:rPr lang="en-US" sz="800" baseline="0"/>
              <a:t> Total Assets</a:t>
            </a:r>
            <a:r>
              <a:rPr lang="en-US" sz="800"/>
              <a:t> - Apple</a:t>
            </a:r>
            <a:r>
              <a:rPr lang="en-US" sz="800" baseline="0"/>
              <a:t> Inc.</a:t>
            </a:r>
            <a:endParaRPr lang="en-US" sz="800"/>
          </a:p>
        </c:rich>
      </c:tx>
      <c:overlay val="0"/>
      <c:spPr>
        <a:noFill/>
        <a:ln>
          <a:noFill/>
        </a:ln>
        <a:effectLst/>
      </c:spPr>
      <c:txPr>
        <a:bodyPr rot="0" spcFirstLastPara="1" vertOverflow="ellipsis" vert="horz" wrap="square" anchor="ctr" anchorCtr="1"/>
        <a:lstStyle/>
        <a:p>
          <a:pPr>
            <a:defRPr sz="8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dk1">
                <a:tint val="885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'Dupont Analysis'!$G$40:$K$40</c:f>
              <c:numCache>
                <c:formatCode>0"A"</c:formatCode>
                <c:ptCount val="5"/>
                <c:pt idx="0">
                  <c:v>2019</c:v>
                </c:pt>
                <c:pt idx="1">
                  <c:v>2020</c:v>
                </c:pt>
                <c:pt idx="2">
                  <c:v>2021</c:v>
                </c:pt>
                <c:pt idx="3">
                  <c:v>2022</c:v>
                </c:pt>
                <c:pt idx="4">
                  <c:v>2023</c:v>
                </c:pt>
              </c:numCache>
            </c:numRef>
          </c:cat>
          <c:val>
            <c:numRef>
              <c:f>'Dupont Analysis'!$G$52:$K$52</c:f>
              <c:numCache>
                <c:formatCode>\$#,##0</c:formatCode>
                <c:ptCount val="5"/>
                <c:pt idx="0">
                  <c:v>352120.5</c:v>
                </c:pt>
                <c:pt idx="1">
                  <c:v>331202</c:v>
                </c:pt>
                <c:pt idx="2">
                  <c:v>337445</c:v>
                </c:pt>
                <c:pt idx="3">
                  <c:v>351878.5</c:v>
                </c:pt>
                <c:pt idx="4">
                  <c:v>352669</c:v>
                </c:pt>
              </c:numCache>
            </c:numRef>
          </c:val>
          <c:extLst>
            <c:ext xmlns:c16="http://schemas.microsoft.com/office/drawing/2014/chart" uri="{C3380CC4-5D6E-409C-BE32-E72D297353CC}">
              <c16:uniqueId val="{00000000-14BE-4AD6-815D-ED353B5B4140}"/>
            </c:ext>
          </c:extLst>
        </c:ser>
        <c:dLbls>
          <c:dLblPos val="outEnd"/>
          <c:showLegendKey val="0"/>
          <c:showVal val="1"/>
          <c:showCatName val="0"/>
          <c:showSerName val="0"/>
          <c:showPercent val="0"/>
          <c:showBubbleSize val="0"/>
        </c:dLbls>
        <c:gapWidth val="219"/>
        <c:overlap val="-27"/>
        <c:axId val="1208952287"/>
        <c:axId val="1208951327"/>
      </c:barChart>
      <c:catAx>
        <c:axId val="1208952287"/>
        <c:scaling>
          <c:orientation val="minMax"/>
        </c:scaling>
        <c:delete val="0"/>
        <c:axPos val="b"/>
        <c:numFmt formatCode="0&quot;A&quot;"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1208951327"/>
        <c:crosses val="autoZero"/>
        <c:auto val="1"/>
        <c:lblAlgn val="ctr"/>
        <c:lblOffset val="100"/>
        <c:noMultiLvlLbl val="0"/>
      </c:catAx>
      <c:valAx>
        <c:axId val="1208951327"/>
        <c:scaling>
          <c:orientation val="minMax"/>
        </c:scaling>
        <c:delete val="1"/>
        <c:axPos val="l"/>
        <c:numFmt formatCode="\$#,##0" sourceLinked="1"/>
        <c:majorTickMark val="none"/>
        <c:minorTickMark val="none"/>
        <c:tickLblPos val="nextTo"/>
        <c:crossAx val="1208952287"/>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title>
      <c:tx>
        <c:rich>
          <a:bodyPr rot="0" spcFirstLastPara="1" vertOverflow="ellipsis" vert="horz" wrap="square" anchor="ctr" anchorCtr="1"/>
          <a:lstStyle/>
          <a:p>
            <a:pPr>
              <a:defRPr sz="800" b="0" i="0" u="none" strike="noStrike" kern="1200" spc="0" baseline="0">
                <a:solidFill>
                  <a:schemeClr val="tx1">
                    <a:lumMod val="65000"/>
                    <a:lumOff val="35000"/>
                  </a:schemeClr>
                </a:solidFill>
                <a:latin typeface="+mn-lt"/>
                <a:ea typeface="+mn-ea"/>
                <a:cs typeface="+mn-cs"/>
              </a:defRPr>
            </a:pPr>
            <a:r>
              <a:rPr lang="en-US" sz="800"/>
              <a:t>Revenue</a:t>
            </a:r>
            <a:r>
              <a:rPr lang="en-US" sz="800" baseline="0"/>
              <a:t>- Apple Inc.</a:t>
            </a:r>
            <a:endParaRPr lang="en-US" sz="800"/>
          </a:p>
        </c:rich>
      </c:tx>
      <c:overlay val="0"/>
      <c:spPr>
        <a:noFill/>
        <a:ln>
          <a:noFill/>
        </a:ln>
        <a:effectLst/>
      </c:spPr>
      <c:txPr>
        <a:bodyPr rot="0" spcFirstLastPara="1" vertOverflow="ellipsis" vert="horz" wrap="square" anchor="ctr" anchorCtr="1"/>
        <a:lstStyle/>
        <a:p>
          <a:pPr>
            <a:defRPr sz="8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5.962987110687596E-2"/>
          <c:y val="0.14428761651131825"/>
          <c:w val="0.9016033903405386"/>
          <c:h val="0.73215303479874616"/>
        </c:manualLayout>
      </c:layout>
      <c:barChart>
        <c:barDir val="col"/>
        <c:grouping val="clustered"/>
        <c:varyColors val="0"/>
        <c:ser>
          <c:idx val="0"/>
          <c:order val="0"/>
          <c:spPr>
            <a:solidFill>
              <a:schemeClr val="dk1">
                <a:tint val="885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'Dupont Analysis'!$G$40:$K$40</c:f>
              <c:numCache>
                <c:formatCode>0"A"</c:formatCode>
                <c:ptCount val="5"/>
                <c:pt idx="0">
                  <c:v>2019</c:v>
                </c:pt>
                <c:pt idx="1">
                  <c:v>2020</c:v>
                </c:pt>
                <c:pt idx="2">
                  <c:v>2021</c:v>
                </c:pt>
                <c:pt idx="3">
                  <c:v>2022</c:v>
                </c:pt>
                <c:pt idx="4">
                  <c:v>2023</c:v>
                </c:pt>
              </c:numCache>
            </c:numRef>
          </c:cat>
          <c:val>
            <c:numRef>
              <c:f>'Dupont Analysis'!$G$48:$K$48</c:f>
              <c:numCache>
                <c:formatCode>\$#,##0</c:formatCode>
                <c:ptCount val="5"/>
                <c:pt idx="0">
                  <c:v>260174</c:v>
                </c:pt>
                <c:pt idx="1">
                  <c:v>274515</c:v>
                </c:pt>
                <c:pt idx="2">
                  <c:v>365817</c:v>
                </c:pt>
                <c:pt idx="3">
                  <c:v>394328</c:v>
                </c:pt>
                <c:pt idx="4">
                  <c:v>383285</c:v>
                </c:pt>
              </c:numCache>
            </c:numRef>
          </c:val>
          <c:extLst>
            <c:ext xmlns:c16="http://schemas.microsoft.com/office/drawing/2014/chart" uri="{C3380CC4-5D6E-409C-BE32-E72D297353CC}">
              <c16:uniqueId val="{00000000-5F5E-4CED-ABE6-75737926D3F4}"/>
            </c:ext>
          </c:extLst>
        </c:ser>
        <c:dLbls>
          <c:dLblPos val="outEnd"/>
          <c:showLegendKey val="0"/>
          <c:showVal val="1"/>
          <c:showCatName val="0"/>
          <c:showSerName val="0"/>
          <c:showPercent val="0"/>
          <c:showBubbleSize val="0"/>
        </c:dLbls>
        <c:gapWidth val="219"/>
        <c:overlap val="-27"/>
        <c:axId val="1208965247"/>
        <c:axId val="1208966207"/>
      </c:barChart>
      <c:catAx>
        <c:axId val="1208965247"/>
        <c:scaling>
          <c:orientation val="minMax"/>
        </c:scaling>
        <c:delete val="0"/>
        <c:axPos val="b"/>
        <c:numFmt formatCode="0&quot;A&quot;"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1208966207"/>
        <c:crosses val="autoZero"/>
        <c:auto val="1"/>
        <c:lblAlgn val="ctr"/>
        <c:lblOffset val="100"/>
        <c:noMultiLvlLbl val="0"/>
      </c:catAx>
      <c:valAx>
        <c:axId val="1208966207"/>
        <c:scaling>
          <c:orientation val="minMax"/>
        </c:scaling>
        <c:delete val="1"/>
        <c:axPos val="l"/>
        <c:numFmt formatCode="\$#,##0" sourceLinked="1"/>
        <c:majorTickMark val="none"/>
        <c:minorTickMark val="none"/>
        <c:tickLblPos val="nextTo"/>
        <c:crossAx val="1208965247"/>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title>
      <c:tx>
        <c:rich>
          <a:bodyPr rot="0" spcFirstLastPara="1" vertOverflow="ellipsis" vert="horz" wrap="square" anchor="ctr" anchorCtr="1"/>
          <a:lstStyle/>
          <a:p>
            <a:pPr>
              <a:defRPr sz="800" b="0" i="0" u="none" strike="noStrike" kern="1200" spc="0" baseline="0">
                <a:solidFill>
                  <a:schemeClr val="tx1">
                    <a:lumMod val="65000"/>
                    <a:lumOff val="35000"/>
                  </a:schemeClr>
                </a:solidFill>
                <a:latin typeface="+mn-lt"/>
                <a:ea typeface="+mn-ea"/>
                <a:cs typeface="+mn-cs"/>
              </a:defRPr>
            </a:pPr>
            <a:r>
              <a:rPr lang="en-US" sz="800"/>
              <a:t>Return on Equity - Apple</a:t>
            </a:r>
            <a:r>
              <a:rPr lang="en-US" sz="800" baseline="0"/>
              <a:t> Inc.</a:t>
            </a:r>
            <a:endParaRPr lang="en-US" sz="800"/>
          </a:p>
        </c:rich>
      </c:tx>
      <c:overlay val="0"/>
      <c:spPr>
        <a:noFill/>
        <a:ln>
          <a:noFill/>
        </a:ln>
        <a:effectLst/>
      </c:spPr>
      <c:txPr>
        <a:bodyPr rot="0" spcFirstLastPara="1" vertOverflow="ellipsis" vert="horz" wrap="square" anchor="ctr" anchorCtr="1"/>
        <a:lstStyle/>
        <a:p>
          <a:pPr>
            <a:defRPr sz="8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dk1">
                <a:tint val="885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'Dupont Analysis'!$G$40:$K$40</c:f>
              <c:numCache>
                <c:formatCode>0"A"</c:formatCode>
                <c:ptCount val="5"/>
                <c:pt idx="0">
                  <c:v>2019</c:v>
                </c:pt>
                <c:pt idx="1">
                  <c:v>2020</c:v>
                </c:pt>
                <c:pt idx="2">
                  <c:v>2021</c:v>
                </c:pt>
                <c:pt idx="3">
                  <c:v>2022</c:v>
                </c:pt>
                <c:pt idx="4">
                  <c:v>2023</c:v>
                </c:pt>
              </c:numCache>
            </c:numRef>
          </c:cat>
          <c:val>
            <c:numRef>
              <c:f>'Dupont Analysis'!$G$43:$K$43</c:f>
              <c:numCache>
                <c:formatCode>0.00%</c:formatCode>
                <c:ptCount val="5"/>
                <c:pt idx="0">
                  <c:v>0.55917221139980267</c:v>
                </c:pt>
                <c:pt idx="1">
                  <c:v>0.73685561552234213</c:v>
                </c:pt>
                <c:pt idx="2">
                  <c:v>1.4744333444938449</c:v>
                </c:pt>
                <c:pt idx="3">
                  <c:v>1.7545929220653644</c:v>
                </c:pt>
                <c:pt idx="4">
                  <c:v>1.7194951160275842</c:v>
                </c:pt>
              </c:numCache>
            </c:numRef>
          </c:val>
          <c:extLst>
            <c:ext xmlns:c16="http://schemas.microsoft.com/office/drawing/2014/chart" uri="{C3380CC4-5D6E-409C-BE32-E72D297353CC}">
              <c16:uniqueId val="{00000000-7E9F-478A-975C-569A93645972}"/>
            </c:ext>
          </c:extLst>
        </c:ser>
        <c:dLbls>
          <c:dLblPos val="outEnd"/>
          <c:showLegendKey val="0"/>
          <c:showVal val="1"/>
          <c:showCatName val="0"/>
          <c:showSerName val="0"/>
          <c:showPercent val="0"/>
          <c:showBubbleSize val="0"/>
        </c:dLbls>
        <c:gapWidth val="219"/>
        <c:overlap val="-27"/>
        <c:axId val="1208952287"/>
        <c:axId val="1208951327"/>
      </c:barChart>
      <c:catAx>
        <c:axId val="1208952287"/>
        <c:scaling>
          <c:orientation val="minMax"/>
        </c:scaling>
        <c:delete val="0"/>
        <c:axPos val="b"/>
        <c:numFmt formatCode="0&quot;A&quot;"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1208951327"/>
        <c:crosses val="autoZero"/>
        <c:auto val="1"/>
        <c:lblAlgn val="ctr"/>
        <c:lblOffset val="100"/>
        <c:noMultiLvlLbl val="0"/>
      </c:catAx>
      <c:valAx>
        <c:axId val="1208951327"/>
        <c:scaling>
          <c:orientation val="minMax"/>
        </c:scaling>
        <c:delete val="1"/>
        <c:axPos val="l"/>
        <c:numFmt formatCode="0.00%" sourceLinked="1"/>
        <c:majorTickMark val="none"/>
        <c:minorTickMark val="none"/>
        <c:tickLblPos val="nextTo"/>
        <c:crossAx val="1208952287"/>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title>
      <c:tx>
        <c:rich>
          <a:bodyPr rot="0" spcFirstLastPara="1" vertOverflow="ellipsis" vert="horz" wrap="square" anchor="ctr" anchorCtr="1"/>
          <a:lstStyle/>
          <a:p>
            <a:pPr>
              <a:defRPr sz="800" b="0" i="0" u="none" strike="noStrike" kern="1200" spc="0" baseline="0">
                <a:solidFill>
                  <a:schemeClr val="tx1">
                    <a:lumMod val="65000"/>
                    <a:lumOff val="35000"/>
                  </a:schemeClr>
                </a:solidFill>
                <a:latin typeface="+mn-lt"/>
                <a:ea typeface="+mn-ea"/>
                <a:cs typeface="+mn-cs"/>
              </a:defRPr>
            </a:pPr>
            <a:r>
              <a:rPr lang="en-US" sz="800"/>
              <a:t>Financial</a:t>
            </a:r>
            <a:r>
              <a:rPr lang="en-US" sz="800" baseline="0"/>
              <a:t> Leverage - </a:t>
            </a:r>
            <a:r>
              <a:rPr lang="en-US" sz="800"/>
              <a:t>Apple</a:t>
            </a:r>
            <a:r>
              <a:rPr lang="en-US" sz="800" baseline="0"/>
              <a:t> Inc.</a:t>
            </a:r>
            <a:endParaRPr lang="en-US" sz="800"/>
          </a:p>
        </c:rich>
      </c:tx>
      <c:overlay val="0"/>
      <c:spPr>
        <a:noFill/>
        <a:ln>
          <a:noFill/>
        </a:ln>
        <a:effectLst/>
      </c:spPr>
      <c:txPr>
        <a:bodyPr rot="0" spcFirstLastPara="1" vertOverflow="ellipsis" vert="horz" wrap="square" anchor="ctr" anchorCtr="1"/>
        <a:lstStyle/>
        <a:p>
          <a:pPr>
            <a:defRPr sz="8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dk1">
                <a:tint val="885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'Dupont Analysis'!$G$40:$K$40</c:f>
              <c:numCache>
                <c:formatCode>0"A"</c:formatCode>
                <c:ptCount val="5"/>
                <c:pt idx="0">
                  <c:v>2019</c:v>
                </c:pt>
                <c:pt idx="1">
                  <c:v>2020</c:v>
                </c:pt>
                <c:pt idx="2">
                  <c:v>2021</c:v>
                </c:pt>
                <c:pt idx="3">
                  <c:v>2022</c:v>
                </c:pt>
                <c:pt idx="4">
                  <c:v>2023</c:v>
                </c:pt>
              </c:numCache>
            </c:numRef>
          </c:cat>
          <c:val>
            <c:numRef>
              <c:f>'Dupont Analysis'!$G$57:$K$57</c:f>
              <c:numCache>
                <c:formatCode>0.00\x</c:formatCode>
                <c:ptCount val="5"/>
                <c:pt idx="0">
                  <c:v>3.5633415133959065</c:v>
                </c:pt>
                <c:pt idx="1">
                  <c:v>4.2508936192059146</c:v>
                </c:pt>
                <c:pt idx="2">
                  <c:v>5.2549657787571347</c:v>
                </c:pt>
                <c:pt idx="3">
                  <c:v>6.1862221128320529</c:v>
                </c:pt>
                <c:pt idx="4">
                  <c:v>6.2519987945186051</c:v>
                </c:pt>
              </c:numCache>
            </c:numRef>
          </c:val>
          <c:extLst>
            <c:ext xmlns:c16="http://schemas.microsoft.com/office/drawing/2014/chart" uri="{C3380CC4-5D6E-409C-BE32-E72D297353CC}">
              <c16:uniqueId val="{00000000-EBFC-4092-BAE0-6C56BAC5B222}"/>
            </c:ext>
          </c:extLst>
        </c:ser>
        <c:dLbls>
          <c:dLblPos val="outEnd"/>
          <c:showLegendKey val="0"/>
          <c:showVal val="1"/>
          <c:showCatName val="0"/>
          <c:showSerName val="0"/>
          <c:showPercent val="0"/>
          <c:showBubbleSize val="0"/>
        </c:dLbls>
        <c:gapWidth val="219"/>
        <c:overlap val="-27"/>
        <c:axId val="1208952287"/>
        <c:axId val="1208951327"/>
      </c:barChart>
      <c:catAx>
        <c:axId val="1208952287"/>
        <c:scaling>
          <c:orientation val="minMax"/>
        </c:scaling>
        <c:delete val="0"/>
        <c:axPos val="b"/>
        <c:numFmt formatCode="0&quot;A&quot;"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1208951327"/>
        <c:crosses val="autoZero"/>
        <c:auto val="1"/>
        <c:lblAlgn val="ctr"/>
        <c:lblOffset val="100"/>
        <c:noMultiLvlLbl val="0"/>
      </c:catAx>
      <c:valAx>
        <c:axId val="1208951327"/>
        <c:scaling>
          <c:orientation val="minMax"/>
        </c:scaling>
        <c:delete val="1"/>
        <c:axPos val="l"/>
        <c:numFmt formatCode="0.00\x" sourceLinked="1"/>
        <c:majorTickMark val="none"/>
        <c:minorTickMark val="none"/>
        <c:tickLblPos val="nextTo"/>
        <c:crossAx val="1208952287"/>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title>
      <c:tx>
        <c:rich>
          <a:bodyPr rot="0" spcFirstLastPara="1" vertOverflow="ellipsis" vert="horz" wrap="square" anchor="ctr" anchorCtr="1"/>
          <a:lstStyle/>
          <a:p>
            <a:pPr>
              <a:defRPr sz="800" b="0" i="0" u="none" strike="noStrike" kern="1200" spc="0" baseline="0">
                <a:solidFill>
                  <a:schemeClr val="tx1">
                    <a:lumMod val="65000"/>
                    <a:lumOff val="35000"/>
                  </a:schemeClr>
                </a:solidFill>
                <a:latin typeface="+mn-lt"/>
                <a:ea typeface="+mn-ea"/>
                <a:cs typeface="+mn-cs"/>
              </a:defRPr>
            </a:pPr>
            <a:r>
              <a:rPr lang="en-US" sz="800"/>
              <a:t>Return on</a:t>
            </a:r>
            <a:r>
              <a:rPr lang="en-US" sz="800" baseline="0"/>
              <a:t> Asset</a:t>
            </a:r>
            <a:r>
              <a:rPr lang="en-US" sz="800"/>
              <a:t>- Apple</a:t>
            </a:r>
            <a:r>
              <a:rPr lang="en-US" sz="800" baseline="0"/>
              <a:t> Inc.</a:t>
            </a:r>
            <a:endParaRPr lang="en-US" sz="800"/>
          </a:p>
        </c:rich>
      </c:tx>
      <c:overlay val="0"/>
      <c:spPr>
        <a:noFill/>
        <a:ln>
          <a:noFill/>
        </a:ln>
        <a:effectLst/>
      </c:spPr>
      <c:txPr>
        <a:bodyPr rot="0" spcFirstLastPara="1" vertOverflow="ellipsis" vert="horz" wrap="square" anchor="ctr" anchorCtr="1"/>
        <a:lstStyle/>
        <a:p>
          <a:pPr>
            <a:defRPr sz="8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'Dupont Analysis'!$G$65:$K$65</c:f>
              <c:strCache>
                <c:ptCount val="5"/>
                <c:pt idx="0">
                  <c:v>15.69%</c:v>
                </c:pt>
                <c:pt idx="1">
                  <c:v>17.33%</c:v>
                </c:pt>
                <c:pt idx="2">
                  <c:v>28.06%</c:v>
                </c:pt>
                <c:pt idx="3">
                  <c:v>28.36%</c:v>
                </c:pt>
                <c:pt idx="4">
                  <c:v>27.50%</c:v>
                </c:pt>
              </c:strCache>
            </c:strRef>
          </c:tx>
          <c:spPr>
            <a:solidFill>
              <a:schemeClr val="dk1">
                <a:tint val="885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'Dupont Analysis'!$G$40:$K$40</c:f>
              <c:numCache>
                <c:formatCode>0"A"</c:formatCode>
                <c:ptCount val="5"/>
                <c:pt idx="0">
                  <c:v>2019</c:v>
                </c:pt>
                <c:pt idx="1">
                  <c:v>2020</c:v>
                </c:pt>
                <c:pt idx="2">
                  <c:v>2021</c:v>
                </c:pt>
                <c:pt idx="3">
                  <c:v>2022</c:v>
                </c:pt>
                <c:pt idx="4">
                  <c:v>2023</c:v>
                </c:pt>
              </c:numCache>
            </c:numRef>
          </c:cat>
          <c:val>
            <c:numRef>
              <c:f>'Dupont Analysis'!$G$65:$K$65</c:f>
              <c:numCache>
                <c:formatCode>0.00%</c:formatCode>
                <c:ptCount val="5"/>
                <c:pt idx="0">
                  <c:v>0.15692355315864881</c:v>
                </c:pt>
                <c:pt idx="1">
                  <c:v>0.1733413445570981</c:v>
                </c:pt>
                <c:pt idx="2">
                  <c:v>0.28057905732786081</c:v>
                </c:pt>
                <c:pt idx="3">
                  <c:v>0.28362915040276687</c:v>
                </c:pt>
                <c:pt idx="4">
                  <c:v>0.27503126160790997</c:v>
                </c:pt>
              </c:numCache>
            </c:numRef>
          </c:val>
          <c:extLst>
            <c:ext xmlns:c16="http://schemas.microsoft.com/office/drawing/2014/chart" uri="{C3380CC4-5D6E-409C-BE32-E72D297353CC}">
              <c16:uniqueId val="{00000000-670F-4AC8-9D91-6D2152F5D491}"/>
            </c:ext>
          </c:extLst>
        </c:ser>
        <c:dLbls>
          <c:dLblPos val="outEnd"/>
          <c:showLegendKey val="0"/>
          <c:showVal val="1"/>
          <c:showCatName val="0"/>
          <c:showSerName val="0"/>
          <c:showPercent val="0"/>
          <c:showBubbleSize val="0"/>
        </c:dLbls>
        <c:gapWidth val="219"/>
        <c:overlap val="-27"/>
        <c:axId val="1208952287"/>
        <c:axId val="1208951327"/>
      </c:barChart>
      <c:catAx>
        <c:axId val="1208952287"/>
        <c:scaling>
          <c:orientation val="minMax"/>
        </c:scaling>
        <c:delete val="0"/>
        <c:axPos val="b"/>
        <c:numFmt formatCode="0&quot;A&quot;"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1208951327"/>
        <c:crosses val="autoZero"/>
        <c:auto val="1"/>
        <c:lblAlgn val="ctr"/>
        <c:lblOffset val="100"/>
        <c:noMultiLvlLbl val="0"/>
      </c:catAx>
      <c:valAx>
        <c:axId val="1208951327"/>
        <c:scaling>
          <c:orientation val="minMax"/>
        </c:scaling>
        <c:delete val="1"/>
        <c:axPos val="l"/>
        <c:numFmt formatCode="0.00%" sourceLinked="1"/>
        <c:majorTickMark val="none"/>
        <c:minorTickMark val="none"/>
        <c:tickLblPos val="nextTo"/>
        <c:crossAx val="1208952287"/>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title>
      <c:tx>
        <c:rich>
          <a:bodyPr rot="0" spcFirstLastPara="1" vertOverflow="ellipsis" vert="horz" wrap="square" anchor="ctr" anchorCtr="1"/>
          <a:lstStyle/>
          <a:p>
            <a:pPr>
              <a:defRPr sz="800" b="0" i="0" u="none" strike="noStrike" kern="1200" spc="0" baseline="0">
                <a:solidFill>
                  <a:schemeClr val="tx1">
                    <a:lumMod val="65000"/>
                    <a:lumOff val="35000"/>
                  </a:schemeClr>
                </a:solidFill>
                <a:latin typeface="+mn-lt"/>
                <a:ea typeface="+mn-ea"/>
                <a:cs typeface="+mn-cs"/>
              </a:defRPr>
            </a:pPr>
            <a:r>
              <a:rPr lang="en-US" sz="800"/>
              <a:t>Avg Shareholders Equity - Apple</a:t>
            </a:r>
            <a:r>
              <a:rPr lang="en-US" sz="800" baseline="0"/>
              <a:t> Inc.</a:t>
            </a:r>
            <a:endParaRPr lang="en-US" sz="800"/>
          </a:p>
        </c:rich>
      </c:tx>
      <c:overlay val="0"/>
      <c:spPr>
        <a:noFill/>
        <a:ln>
          <a:noFill/>
        </a:ln>
        <a:effectLst/>
      </c:spPr>
      <c:txPr>
        <a:bodyPr rot="0" spcFirstLastPara="1" vertOverflow="ellipsis" vert="horz" wrap="square" anchor="ctr" anchorCtr="1"/>
        <a:lstStyle/>
        <a:p>
          <a:pPr>
            <a:defRPr sz="8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dk1">
                <a:tint val="885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'Dupont Analysis'!$G$40:$K$40</c:f>
              <c:numCache>
                <c:formatCode>0"A"</c:formatCode>
                <c:ptCount val="5"/>
                <c:pt idx="0">
                  <c:v>2019</c:v>
                </c:pt>
                <c:pt idx="1">
                  <c:v>2020</c:v>
                </c:pt>
                <c:pt idx="2">
                  <c:v>2021</c:v>
                </c:pt>
                <c:pt idx="3">
                  <c:v>2022</c:v>
                </c:pt>
                <c:pt idx="4">
                  <c:v>2023</c:v>
                </c:pt>
              </c:numCache>
            </c:numRef>
          </c:cat>
          <c:val>
            <c:numRef>
              <c:f>'Dupont Analysis'!$G$42:$K$42</c:f>
              <c:numCache>
                <c:formatCode>\$#,##0</c:formatCode>
                <c:ptCount val="5"/>
                <c:pt idx="0">
                  <c:v>98817.5</c:v>
                </c:pt>
                <c:pt idx="1">
                  <c:v>77913.5</c:v>
                </c:pt>
                <c:pt idx="2">
                  <c:v>64214.5</c:v>
                </c:pt>
                <c:pt idx="3">
                  <c:v>56881</c:v>
                </c:pt>
                <c:pt idx="4">
                  <c:v>56409</c:v>
                </c:pt>
              </c:numCache>
            </c:numRef>
          </c:val>
          <c:extLst>
            <c:ext xmlns:c16="http://schemas.microsoft.com/office/drawing/2014/chart" uri="{C3380CC4-5D6E-409C-BE32-E72D297353CC}">
              <c16:uniqueId val="{00000000-379E-4B56-B5A6-B03ED62F5E7A}"/>
            </c:ext>
          </c:extLst>
        </c:ser>
        <c:dLbls>
          <c:dLblPos val="outEnd"/>
          <c:showLegendKey val="0"/>
          <c:showVal val="1"/>
          <c:showCatName val="0"/>
          <c:showSerName val="0"/>
          <c:showPercent val="0"/>
          <c:showBubbleSize val="0"/>
        </c:dLbls>
        <c:gapWidth val="219"/>
        <c:overlap val="-27"/>
        <c:axId val="1208952287"/>
        <c:axId val="1208951327"/>
      </c:barChart>
      <c:catAx>
        <c:axId val="1208952287"/>
        <c:scaling>
          <c:orientation val="minMax"/>
        </c:scaling>
        <c:delete val="0"/>
        <c:axPos val="b"/>
        <c:numFmt formatCode="0&quot;A&quot;"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1208951327"/>
        <c:crosses val="autoZero"/>
        <c:auto val="1"/>
        <c:lblAlgn val="ctr"/>
        <c:lblOffset val="100"/>
        <c:noMultiLvlLbl val="0"/>
      </c:catAx>
      <c:valAx>
        <c:axId val="1208951327"/>
        <c:scaling>
          <c:orientation val="minMax"/>
        </c:scaling>
        <c:delete val="1"/>
        <c:axPos val="l"/>
        <c:numFmt formatCode="\$#,##0" sourceLinked="1"/>
        <c:majorTickMark val="none"/>
        <c:minorTickMark val="none"/>
        <c:tickLblPos val="nextTo"/>
        <c:crossAx val="1208952287"/>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spPr>
            <a:ln w="28575" cap="rnd">
              <a:solidFill>
                <a:schemeClr val="accent1"/>
              </a:solidFill>
              <a:round/>
            </a:ln>
            <a:effectLst/>
          </c:spPr>
          <c:marker>
            <c:symbol val="none"/>
          </c:marker>
          <c:val>
            <c:numRef>
              <c:f>'Data Sheet'!$B$473:$B$533</c:f>
              <c:numCache>
                <c:formatCode>General</c:formatCode>
                <c:ptCount val="61"/>
                <c:pt idx="0">
                  <c:v>51.401077000000001</c:v>
                </c:pt>
                <c:pt idx="1">
                  <c:v>50.363598000000003</c:v>
                </c:pt>
                <c:pt idx="2">
                  <c:v>54.243518999999999</c:v>
                </c:pt>
                <c:pt idx="3">
                  <c:v>60.247436999999998</c:v>
                </c:pt>
                <c:pt idx="4">
                  <c:v>64.725548000000003</c:v>
                </c:pt>
                <c:pt idx="5">
                  <c:v>71.332909000000001</c:v>
                </c:pt>
                <c:pt idx="6">
                  <c:v>75.185576999999995</c:v>
                </c:pt>
                <c:pt idx="7">
                  <c:v>66.404114000000007</c:v>
                </c:pt>
                <c:pt idx="8">
                  <c:v>61.918258999999999</c:v>
                </c:pt>
                <c:pt idx="9">
                  <c:v>71.538734000000005</c:v>
                </c:pt>
                <c:pt idx="10">
                  <c:v>77.416686999999996</c:v>
                </c:pt>
                <c:pt idx="11">
                  <c:v>89.067284000000001</c:v>
                </c:pt>
                <c:pt idx="12">
                  <c:v>103.77514600000001</c:v>
                </c:pt>
                <c:pt idx="13">
                  <c:v>126.022392</c:v>
                </c:pt>
                <c:pt idx="14">
                  <c:v>113.305725</c:v>
                </c:pt>
                <c:pt idx="15">
                  <c:v>106.506012</c:v>
                </c:pt>
                <c:pt idx="16">
                  <c:v>116.47566999999999</c:v>
                </c:pt>
                <c:pt idx="17">
                  <c:v>130.044647</c:v>
                </c:pt>
                <c:pt idx="18">
                  <c:v>129.32926900000001</c:v>
                </c:pt>
                <c:pt idx="19">
                  <c:v>118.842545</c:v>
                </c:pt>
                <c:pt idx="20">
                  <c:v>119.893715</c:v>
                </c:pt>
                <c:pt idx="21">
                  <c:v>129.031723</c:v>
                </c:pt>
                <c:pt idx="22">
                  <c:v>122.308273</c:v>
                </c:pt>
                <c:pt idx="23">
                  <c:v>134.65846300000001</c:v>
                </c:pt>
                <c:pt idx="24">
                  <c:v>143.40889000000001</c:v>
                </c:pt>
                <c:pt idx="25">
                  <c:v>149.278595</c:v>
                </c:pt>
                <c:pt idx="26">
                  <c:v>139.33062699999999</c:v>
                </c:pt>
                <c:pt idx="27">
                  <c:v>147.50337200000001</c:v>
                </c:pt>
                <c:pt idx="28">
                  <c:v>162.765762</c:v>
                </c:pt>
                <c:pt idx="29">
                  <c:v>175.10279800000001</c:v>
                </c:pt>
                <c:pt idx="30">
                  <c:v>172.35157799999999</c:v>
                </c:pt>
                <c:pt idx="31">
                  <c:v>162.82577499999999</c:v>
                </c:pt>
                <c:pt idx="32">
                  <c:v>172.40330499999999</c:v>
                </c:pt>
                <c:pt idx="33">
                  <c:v>155.65765400000001</c:v>
                </c:pt>
                <c:pt idx="34">
                  <c:v>146.95898399999999</c:v>
                </c:pt>
                <c:pt idx="35">
                  <c:v>135.19046</c:v>
                </c:pt>
                <c:pt idx="36">
                  <c:v>160.691971</c:v>
                </c:pt>
                <c:pt idx="37">
                  <c:v>155.46118200000001</c:v>
                </c:pt>
                <c:pt idx="38">
                  <c:v>136.84375</c:v>
                </c:pt>
                <c:pt idx="39">
                  <c:v>151.835159</c:v>
                </c:pt>
                <c:pt idx="40">
                  <c:v>146.577271</c:v>
                </c:pt>
                <c:pt idx="41">
                  <c:v>128.86833200000001</c:v>
                </c:pt>
                <c:pt idx="42">
                  <c:v>143.11097699999999</c:v>
                </c:pt>
                <c:pt idx="43">
                  <c:v>146.20550499999999</c:v>
                </c:pt>
                <c:pt idx="44">
                  <c:v>163.80230700000001</c:v>
                </c:pt>
                <c:pt idx="45">
                  <c:v>168.55049099999999</c:v>
                </c:pt>
                <c:pt idx="46">
                  <c:v>176.07011399999999</c:v>
                </c:pt>
                <c:pt idx="47">
                  <c:v>192.945313</c:v>
                </c:pt>
                <c:pt idx="48">
                  <c:v>195.41220100000001</c:v>
                </c:pt>
                <c:pt idx="49">
                  <c:v>186.87754799999999</c:v>
                </c:pt>
                <c:pt idx="50">
                  <c:v>170.535538</c:v>
                </c:pt>
                <c:pt idx="51">
                  <c:v>170.09726000000001</c:v>
                </c:pt>
                <c:pt idx="52">
                  <c:v>189.20169100000001</c:v>
                </c:pt>
                <c:pt idx="53">
                  <c:v>192.02418499999999</c:v>
                </c:pt>
                <c:pt idx="54">
                  <c:v>183.91554300000001</c:v>
                </c:pt>
                <c:pt idx="55">
                  <c:v>180.27513099999999</c:v>
                </c:pt>
                <c:pt idx="56">
                  <c:v>171.247726</c:v>
                </c:pt>
                <c:pt idx="57">
                  <c:v>170.099289</c:v>
                </c:pt>
                <c:pt idx="58">
                  <c:v>191.98959400000001</c:v>
                </c:pt>
                <c:pt idx="59">
                  <c:v>194.479996</c:v>
                </c:pt>
                <c:pt idx="60">
                  <c:v>196.88999899999999</c:v>
                </c:pt>
              </c:numCache>
            </c:numRef>
          </c:val>
          <c:smooth val="0"/>
          <c:extLst>
            <c:ext xmlns:c16="http://schemas.microsoft.com/office/drawing/2014/chart" uri="{C3380CC4-5D6E-409C-BE32-E72D297353CC}">
              <c16:uniqueId val="{00000000-3FB3-4A52-AC7F-FADDD5856064}"/>
            </c:ext>
          </c:extLst>
        </c:ser>
        <c:dLbls>
          <c:showLegendKey val="0"/>
          <c:showVal val="0"/>
          <c:showCatName val="0"/>
          <c:showSerName val="0"/>
          <c:showPercent val="0"/>
          <c:showBubbleSize val="0"/>
        </c:dLbls>
        <c:smooth val="0"/>
        <c:axId val="1555237728"/>
        <c:axId val="1555233888"/>
      </c:lineChart>
      <c:catAx>
        <c:axId val="1555237728"/>
        <c:scaling>
          <c:orientation val="minMax"/>
        </c:scaling>
        <c:delete val="1"/>
        <c:axPos val="b"/>
        <c:numFmt formatCode="General" sourceLinked="1"/>
        <c:majorTickMark val="none"/>
        <c:minorTickMark val="none"/>
        <c:tickLblPos val="nextTo"/>
        <c:crossAx val="1555233888"/>
        <c:crossesAt val="0"/>
        <c:auto val="1"/>
        <c:lblAlgn val="ctr"/>
        <c:lblOffset val="100"/>
        <c:noMultiLvlLbl val="0"/>
      </c:catAx>
      <c:valAx>
        <c:axId val="1555233888"/>
        <c:scaling>
          <c:orientation val="minMax"/>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523772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_xlchart.v1.0</cx:f>
      </cx:numDim>
    </cx:data>
  </cx:chartData>
  <cx:chart>
    <cx:title pos="t" align="ctr" overlay="0">
      <cx:tx>
        <cx:txData>
          <cx:v>Monthly Returns Distribution</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Monthly Returns Distribution</a:t>
          </a:r>
        </a:p>
      </cx:txPr>
    </cx:title>
    <cx:plotArea>
      <cx:plotAreaRegion>
        <cx:series layoutId="clusteredColumn" uniqueId="{9E4E1CA8-1432-4885-9CCC-30BDD01293F7}">
          <cx:dataId val="0"/>
          <cx:layoutPr>
            <cx:binning intervalClosed="r"/>
          </cx:layoutPr>
        </cx:series>
      </cx:plotAreaRegion>
      <cx:axis id="0">
        <cx:catScaling gapWidth="0"/>
        <cx:tickLabels/>
      </cx:axis>
      <cx:axis id="1">
        <cx:valScaling/>
        <cx:majorGridlines/>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5.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6.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7.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8.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9.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10.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11.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png"/><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4"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2" Type="http://schemas.openxmlformats.org/officeDocument/2006/relationships/image" Target="../media/image1.png"/><Relationship Id="rId1" Type="http://schemas.microsoft.com/office/2014/relationships/chartEx" Target="../charts/chartEx1.xml"/></Relationships>
</file>

<file path=xl/drawings/_rels/drawing12.xml.rels><?xml version="1.0" encoding="UTF-8" standalone="yes"?>
<Relationships xmlns="http://schemas.openxmlformats.org/package/2006/relationships"><Relationship Id="rId8" Type="http://schemas.openxmlformats.org/officeDocument/2006/relationships/chart" Target="../charts/chart13.xml"/><Relationship Id="rId3" Type="http://schemas.openxmlformats.org/officeDocument/2006/relationships/chart" Target="../charts/chart8.xml"/><Relationship Id="rId7" Type="http://schemas.openxmlformats.org/officeDocument/2006/relationships/chart" Target="../charts/chart12.xml"/><Relationship Id="rId2" Type="http://schemas.openxmlformats.org/officeDocument/2006/relationships/chart" Target="../charts/chart7.xml"/><Relationship Id="rId1" Type="http://schemas.openxmlformats.org/officeDocument/2006/relationships/image" Target="../media/image1.png"/><Relationship Id="rId6" Type="http://schemas.openxmlformats.org/officeDocument/2006/relationships/chart" Target="../charts/chart11.xml"/><Relationship Id="rId5" Type="http://schemas.openxmlformats.org/officeDocument/2006/relationships/chart" Target="../charts/chart10.xml"/><Relationship Id="rId4" Type="http://schemas.openxmlformats.org/officeDocument/2006/relationships/chart" Target="../charts/chart9.xml"/></Relationships>
</file>

<file path=xl/drawings/_rels/drawing13.xml.rels><?xml version="1.0" encoding="UTF-8" standalone="yes"?>
<Relationships xmlns="http://schemas.openxmlformats.org/package/2006/relationships"><Relationship Id="rId2" Type="http://schemas.openxmlformats.org/officeDocument/2006/relationships/chart" Target="../charts/chart14.xml"/><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19050</xdr:colOff>
      <xdr:row>2</xdr:row>
      <xdr:rowOff>12700</xdr:rowOff>
    </xdr:from>
    <xdr:to>
      <xdr:col>4</xdr:col>
      <xdr:colOff>58108</xdr:colOff>
      <xdr:row>6</xdr:row>
      <xdr:rowOff>19847</xdr:rowOff>
    </xdr:to>
    <xdr:pic>
      <xdr:nvPicPr>
        <xdr:cNvPr id="2" name="Picture 1">
          <a:extLst>
            <a:ext uri="{FF2B5EF4-FFF2-40B4-BE49-F238E27FC236}">
              <a16:creationId xmlns:a16="http://schemas.microsoft.com/office/drawing/2014/main" id="{4E663946-1E6F-473C-B550-D0D588DCE42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9050" y="381000"/>
          <a:ext cx="1994858" cy="743747"/>
        </a:xfrm>
        <a:prstGeom prst="rect">
          <a:avLst/>
        </a:prstGeom>
      </xdr:spPr>
    </xdr:pic>
    <xdr:clientData/>
  </xdr:twoCellAnchor>
  <xdr:twoCellAnchor>
    <xdr:from>
      <xdr:col>4</xdr:col>
      <xdr:colOff>50800</xdr:colOff>
      <xdr:row>2</xdr:row>
      <xdr:rowOff>63500</xdr:rowOff>
    </xdr:from>
    <xdr:to>
      <xdr:col>14</xdr:col>
      <xdr:colOff>603250</xdr:colOff>
      <xdr:row>8</xdr:row>
      <xdr:rowOff>63500</xdr:rowOff>
    </xdr:to>
    <xdr:sp macro="" textlink="">
      <xdr:nvSpPr>
        <xdr:cNvPr id="3" name="TextBox 2">
          <a:extLst>
            <a:ext uri="{FF2B5EF4-FFF2-40B4-BE49-F238E27FC236}">
              <a16:creationId xmlns:a16="http://schemas.microsoft.com/office/drawing/2014/main" id="{5C1ED851-6B65-43BB-CD94-8A458ACF3BAE}"/>
            </a:ext>
          </a:extLst>
        </xdr:cNvPr>
        <xdr:cNvSpPr txBox="1"/>
      </xdr:nvSpPr>
      <xdr:spPr>
        <a:xfrm>
          <a:off x="2006600" y="431800"/>
          <a:ext cx="6648450" cy="12890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000">
              <a:latin typeface="Times New Roman" panose="02020603050405020304" pitchFamily="18" charset="0"/>
              <a:cs typeface="Times New Roman" panose="02020603050405020304" pitchFamily="18" charset="0"/>
            </a:rPr>
            <a:t>Apple Inc., established in 1976, is an American multinational corporation and technology company headquartered in Cupertino, California, in Silicon Valley. The Company designs, manufactures and markets smartphones, personal computers, tablets, wearables and accessories, and sells a variety of related services. The Company’s ability to compete successfully depends heavily on ensuring the continuing and timely introduction of innovative new products, services and technologies to the marketplace. Despite strong competition, the company has managed to grow and thrive within its industries and enjoys one of the best financial metrics among its peers. </a:t>
          </a:r>
        </a:p>
      </xdr:txBody>
    </xdr:sp>
    <xdr:clientData/>
  </xdr:twoCellAnchor>
  <xdr:twoCellAnchor>
    <xdr:from>
      <xdr:col>10</xdr:col>
      <xdr:colOff>514350</xdr:colOff>
      <xdr:row>17</xdr:row>
      <xdr:rowOff>19050</xdr:rowOff>
    </xdr:from>
    <xdr:to>
      <xdr:col>11</xdr:col>
      <xdr:colOff>393700</xdr:colOff>
      <xdr:row>18</xdr:row>
      <xdr:rowOff>44450</xdr:rowOff>
    </xdr:to>
    <xdr:sp macro="" textlink="">
      <xdr:nvSpPr>
        <xdr:cNvPr id="5" name="TextBox 4">
          <a:extLst>
            <a:ext uri="{FF2B5EF4-FFF2-40B4-BE49-F238E27FC236}">
              <a16:creationId xmlns:a16="http://schemas.microsoft.com/office/drawing/2014/main" id="{A333A1E3-B3FB-07A2-CF33-D5BD7B5B9E16}"/>
            </a:ext>
          </a:extLst>
        </xdr:cNvPr>
        <xdr:cNvSpPr txBox="1"/>
      </xdr:nvSpPr>
      <xdr:spPr>
        <a:xfrm>
          <a:off x="6127750" y="3333750"/>
          <a:ext cx="488950" cy="2095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solidFill>
                <a:schemeClr val="bg1">
                  <a:lumMod val="50000"/>
                </a:schemeClr>
              </a:solidFill>
            </a:rPr>
            <a:t>2019</a:t>
          </a:r>
        </a:p>
      </xdr:txBody>
    </xdr:sp>
    <xdr:clientData/>
  </xdr:twoCellAnchor>
  <xdr:twoCellAnchor>
    <xdr:from>
      <xdr:col>11</xdr:col>
      <xdr:colOff>400050</xdr:colOff>
      <xdr:row>17</xdr:row>
      <xdr:rowOff>12700</xdr:rowOff>
    </xdr:from>
    <xdr:to>
      <xdr:col>12</xdr:col>
      <xdr:colOff>279400</xdr:colOff>
      <xdr:row>18</xdr:row>
      <xdr:rowOff>38100</xdr:rowOff>
    </xdr:to>
    <xdr:sp macro="" textlink="">
      <xdr:nvSpPr>
        <xdr:cNvPr id="7" name="TextBox 6">
          <a:extLst>
            <a:ext uri="{FF2B5EF4-FFF2-40B4-BE49-F238E27FC236}">
              <a16:creationId xmlns:a16="http://schemas.microsoft.com/office/drawing/2014/main" id="{B08CB7FE-6AFB-4A4A-AD2A-CB3D7D0C13B5}"/>
            </a:ext>
          </a:extLst>
        </xdr:cNvPr>
        <xdr:cNvSpPr txBox="1"/>
      </xdr:nvSpPr>
      <xdr:spPr>
        <a:xfrm>
          <a:off x="6623050" y="3327400"/>
          <a:ext cx="488950" cy="2095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solidFill>
                <a:schemeClr val="bg1">
                  <a:lumMod val="50000"/>
                </a:schemeClr>
              </a:solidFill>
            </a:rPr>
            <a:t>2020</a:t>
          </a:r>
        </a:p>
      </xdr:txBody>
    </xdr:sp>
    <xdr:clientData/>
  </xdr:twoCellAnchor>
  <xdr:twoCellAnchor>
    <xdr:from>
      <xdr:col>12</xdr:col>
      <xdr:colOff>298450</xdr:colOff>
      <xdr:row>17</xdr:row>
      <xdr:rowOff>12700</xdr:rowOff>
    </xdr:from>
    <xdr:to>
      <xdr:col>13</xdr:col>
      <xdr:colOff>177800</xdr:colOff>
      <xdr:row>18</xdr:row>
      <xdr:rowOff>38100</xdr:rowOff>
    </xdr:to>
    <xdr:sp macro="" textlink="">
      <xdr:nvSpPr>
        <xdr:cNvPr id="8" name="TextBox 7">
          <a:extLst>
            <a:ext uri="{FF2B5EF4-FFF2-40B4-BE49-F238E27FC236}">
              <a16:creationId xmlns:a16="http://schemas.microsoft.com/office/drawing/2014/main" id="{7B5E4B0F-EC69-4C61-9033-D1D29E7760A6}"/>
            </a:ext>
          </a:extLst>
        </xdr:cNvPr>
        <xdr:cNvSpPr txBox="1"/>
      </xdr:nvSpPr>
      <xdr:spPr>
        <a:xfrm>
          <a:off x="7131050" y="3327400"/>
          <a:ext cx="488950" cy="2095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solidFill>
                <a:schemeClr val="bg1">
                  <a:lumMod val="50000"/>
                </a:schemeClr>
              </a:solidFill>
            </a:rPr>
            <a:t>2021</a:t>
          </a:r>
        </a:p>
      </xdr:txBody>
    </xdr:sp>
    <xdr:clientData/>
  </xdr:twoCellAnchor>
  <xdr:twoCellAnchor>
    <xdr:from>
      <xdr:col>13</xdr:col>
      <xdr:colOff>209550</xdr:colOff>
      <xdr:row>17</xdr:row>
      <xdr:rowOff>12700</xdr:rowOff>
    </xdr:from>
    <xdr:to>
      <xdr:col>14</xdr:col>
      <xdr:colOff>88900</xdr:colOff>
      <xdr:row>18</xdr:row>
      <xdr:rowOff>38100</xdr:rowOff>
    </xdr:to>
    <xdr:sp macro="" textlink="">
      <xdr:nvSpPr>
        <xdr:cNvPr id="9" name="TextBox 8">
          <a:extLst>
            <a:ext uri="{FF2B5EF4-FFF2-40B4-BE49-F238E27FC236}">
              <a16:creationId xmlns:a16="http://schemas.microsoft.com/office/drawing/2014/main" id="{35E06968-8D00-4D68-BC15-AFCA54113DB9}"/>
            </a:ext>
          </a:extLst>
        </xdr:cNvPr>
        <xdr:cNvSpPr txBox="1"/>
      </xdr:nvSpPr>
      <xdr:spPr>
        <a:xfrm>
          <a:off x="7651750" y="3327400"/>
          <a:ext cx="488950" cy="2095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solidFill>
                <a:schemeClr val="bg1">
                  <a:lumMod val="50000"/>
                </a:schemeClr>
              </a:solidFill>
            </a:rPr>
            <a:t>2022</a:t>
          </a:r>
        </a:p>
      </xdr:txBody>
    </xdr:sp>
    <xdr:clientData/>
  </xdr:twoCellAnchor>
  <xdr:twoCellAnchor>
    <xdr:from>
      <xdr:col>14</xdr:col>
      <xdr:colOff>139700</xdr:colOff>
      <xdr:row>17</xdr:row>
      <xdr:rowOff>12700</xdr:rowOff>
    </xdr:from>
    <xdr:to>
      <xdr:col>14</xdr:col>
      <xdr:colOff>628650</xdr:colOff>
      <xdr:row>18</xdr:row>
      <xdr:rowOff>38100</xdr:rowOff>
    </xdr:to>
    <xdr:sp macro="" textlink="">
      <xdr:nvSpPr>
        <xdr:cNvPr id="10" name="TextBox 9">
          <a:extLst>
            <a:ext uri="{FF2B5EF4-FFF2-40B4-BE49-F238E27FC236}">
              <a16:creationId xmlns:a16="http://schemas.microsoft.com/office/drawing/2014/main" id="{2D7253E0-7BD4-4F5F-9AE4-C2F5E81CC845}"/>
            </a:ext>
          </a:extLst>
        </xdr:cNvPr>
        <xdr:cNvSpPr txBox="1"/>
      </xdr:nvSpPr>
      <xdr:spPr>
        <a:xfrm>
          <a:off x="8191500" y="3327400"/>
          <a:ext cx="488950" cy="2095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solidFill>
                <a:schemeClr val="bg1">
                  <a:lumMod val="50000"/>
                </a:schemeClr>
              </a:solidFill>
            </a:rPr>
            <a:t>2023</a:t>
          </a:r>
        </a:p>
      </xdr:txBody>
    </xdr:sp>
    <xdr:clientData/>
  </xdr:twoCellAnchor>
  <xdr:twoCellAnchor>
    <xdr:from>
      <xdr:col>9</xdr:col>
      <xdr:colOff>590550</xdr:colOff>
      <xdr:row>29</xdr:row>
      <xdr:rowOff>63500</xdr:rowOff>
    </xdr:from>
    <xdr:to>
      <xdr:col>11</xdr:col>
      <xdr:colOff>425450</xdr:colOff>
      <xdr:row>33</xdr:row>
      <xdr:rowOff>0</xdr:rowOff>
    </xdr:to>
    <xdr:sp macro="" textlink="">
      <xdr:nvSpPr>
        <xdr:cNvPr id="11" name="Rectangle: Rounded Corners 10">
          <a:extLst>
            <a:ext uri="{FF2B5EF4-FFF2-40B4-BE49-F238E27FC236}">
              <a16:creationId xmlns:a16="http://schemas.microsoft.com/office/drawing/2014/main" id="{F3258A1E-02EA-1169-0F0B-6DC25D7B3C3D}"/>
            </a:ext>
          </a:extLst>
        </xdr:cNvPr>
        <xdr:cNvSpPr/>
      </xdr:nvSpPr>
      <xdr:spPr>
        <a:xfrm>
          <a:off x="5594350" y="5403850"/>
          <a:ext cx="1054100" cy="673100"/>
        </a:xfrm>
        <a:prstGeom prst="roundRect">
          <a:avLst/>
        </a:prstGeom>
        <a:solidFill>
          <a:schemeClr val="bg1">
            <a:lumMod val="75000"/>
          </a:schemeClr>
        </a:solid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ctr"/>
          <a:r>
            <a:rPr lang="en-US" sz="800" b="1">
              <a:solidFill>
                <a:schemeClr val="tx1"/>
              </a:solidFill>
            </a:rPr>
            <a:t>RETURN ON INVESTED CAPITAL</a:t>
          </a:r>
        </a:p>
        <a:p>
          <a:pPr algn="ctr"/>
          <a:endParaRPr lang="en-US" sz="800">
            <a:solidFill>
              <a:schemeClr val="tx1"/>
            </a:solidFill>
          </a:endParaRPr>
        </a:p>
        <a:p>
          <a:pPr algn="ctr"/>
          <a:r>
            <a:rPr lang="en-US" sz="900" b="1">
              <a:solidFill>
                <a:schemeClr val="tx1"/>
              </a:solidFill>
            </a:rPr>
            <a:t>33.76%</a:t>
          </a:r>
        </a:p>
      </xdr:txBody>
    </xdr:sp>
    <xdr:clientData/>
  </xdr:twoCellAnchor>
  <xdr:twoCellAnchor>
    <xdr:from>
      <xdr:col>11</xdr:col>
      <xdr:colOff>501650</xdr:colOff>
      <xdr:row>29</xdr:row>
      <xdr:rowOff>69850</xdr:rowOff>
    </xdr:from>
    <xdr:to>
      <xdr:col>13</xdr:col>
      <xdr:colOff>336550</xdr:colOff>
      <xdr:row>33</xdr:row>
      <xdr:rowOff>12700</xdr:rowOff>
    </xdr:to>
    <xdr:sp macro="" textlink="">
      <xdr:nvSpPr>
        <xdr:cNvPr id="12" name="Rectangle: Rounded Corners 11">
          <a:extLst>
            <a:ext uri="{FF2B5EF4-FFF2-40B4-BE49-F238E27FC236}">
              <a16:creationId xmlns:a16="http://schemas.microsoft.com/office/drawing/2014/main" id="{C0453B34-0F54-4CC6-B54B-ABE99315C95E}"/>
            </a:ext>
          </a:extLst>
        </xdr:cNvPr>
        <xdr:cNvSpPr/>
      </xdr:nvSpPr>
      <xdr:spPr>
        <a:xfrm>
          <a:off x="6724650" y="5410200"/>
          <a:ext cx="1054100" cy="679450"/>
        </a:xfrm>
        <a:prstGeom prst="roundRect">
          <a:avLst/>
        </a:prstGeom>
        <a:solidFill>
          <a:schemeClr val="bg1">
            <a:lumMod val="75000"/>
          </a:schemeClr>
        </a:solid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ctr"/>
          <a:r>
            <a:rPr lang="en-US" sz="800" b="1">
              <a:solidFill>
                <a:schemeClr val="tx1"/>
              </a:solidFill>
            </a:rPr>
            <a:t>INTRINSIC</a:t>
          </a:r>
          <a:r>
            <a:rPr lang="en-US" sz="800" b="1" baseline="0">
              <a:solidFill>
                <a:schemeClr val="tx1"/>
              </a:solidFill>
            </a:rPr>
            <a:t> GROWTH RATE</a:t>
          </a:r>
          <a:endParaRPr lang="en-US" sz="800" b="1">
            <a:solidFill>
              <a:schemeClr val="tx1"/>
            </a:solidFill>
          </a:endParaRPr>
        </a:p>
        <a:p>
          <a:pPr algn="ctr"/>
          <a:endParaRPr lang="en-US" sz="800">
            <a:solidFill>
              <a:schemeClr val="tx1"/>
            </a:solidFill>
          </a:endParaRPr>
        </a:p>
        <a:p>
          <a:pPr algn="ctr"/>
          <a:r>
            <a:rPr lang="en-US" sz="900" b="1">
              <a:solidFill>
                <a:schemeClr val="tx1"/>
              </a:solidFill>
            </a:rPr>
            <a:t>5.66%</a:t>
          </a:r>
        </a:p>
      </xdr:txBody>
    </xdr:sp>
    <xdr:clientData/>
  </xdr:twoCellAnchor>
  <xdr:twoCellAnchor>
    <xdr:from>
      <xdr:col>13</xdr:col>
      <xdr:colOff>419100</xdr:colOff>
      <xdr:row>29</xdr:row>
      <xdr:rowOff>69850</xdr:rowOff>
    </xdr:from>
    <xdr:to>
      <xdr:col>15</xdr:col>
      <xdr:colOff>6350</xdr:colOff>
      <xdr:row>33</xdr:row>
      <xdr:rowOff>6350</xdr:rowOff>
    </xdr:to>
    <xdr:sp macro="" textlink="">
      <xdr:nvSpPr>
        <xdr:cNvPr id="13" name="Rectangle: Rounded Corners 12">
          <a:extLst>
            <a:ext uri="{FF2B5EF4-FFF2-40B4-BE49-F238E27FC236}">
              <a16:creationId xmlns:a16="http://schemas.microsoft.com/office/drawing/2014/main" id="{FE4C5177-C176-43E0-B5DC-358716D6F0CB}"/>
            </a:ext>
          </a:extLst>
        </xdr:cNvPr>
        <xdr:cNvSpPr/>
      </xdr:nvSpPr>
      <xdr:spPr>
        <a:xfrm>
          <a:off x="7861300" y="5410200"/>
          <a:ext cx="1047750" cy="673100"/>
        </a:xfrm>
        <a:prstGeom prst="roundRect">
          <a:avLst/>
        </a:prstGeom>
        <a:solidFill>
          <a:schemeClr val="bg1">
            <a:lumMod val="75000"/>
          </a:schemeClr>
        </a:solid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ctr"/>
          <a:r>
            <a:rPr lang="en-US" sz="800" b="1">
              <a:solidFill>
                <a:schemeClr val="tx1"/>
              </a:solidFill>
            </a:rPr>
            <a:t>REINVESTMENT RATE</a:t>
          </a:r>
        </a:p>
        <a:p>
          <a:pPr algn="ctr"/>
          <a:endParaRPr lang="en-US" sz="800">
            <a:solidFill>
              <a:schemeClr val="tx1"/>
            </a:solidFill>
          </a:endParaRPr>
        </a:p>
        <a:p>
          <a:pPr algn="ctr"/>
          <a:r>
            <a:rPr lang="en-US" sz="900" b="1">
              <a:solidFill>
                <a:schemeClr val="tx1"/>
              </a:solidFill>
            </a:rPr>
            <a:t>17.88%</a:t>
          </a:r>
        </a:p>
      </xdr:txBody>
    </xdr:sp>
    <xdr:clientData/>
  </xdr:twoCellAnchor>
  <xdr:twoCellAnchor>
    <xdr:from>
      <xdr:col>9</xdr:col>
      <xdr:colOff>396875</xdr:colOff>
      <xdr:row>48</xdr:row>
      <xdr:rowOff>22225</xdr:rowOff>
    </xdr:from>
    <xdr:to>
      <xdr:col>15</xdr:col>
      <xdr:colOff>444500</xdr:colOff>
      <xdr:row>57</xdr:row>
      <xdr:rowOff>114300</xdr:rowOff>
    </xdr:to>
    <xdr:graphicFrame macro="">
      <xdr:nvGraphicFramePr>
        <xdr:cNvPr id="17" name="Chart 16">
          <a:extLst>
            <a:ext uri="{FF2B5EF4-FFF2-40B4-BE49-F238E27FC236}">
              <a16:creationId xmlns:a16="http://schemas.microsoft.com/office/drawing/2014/main" id="{E287E2EC-E1D0-D2F6-37F9-C93F788DA1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0</xdr:colOff>
      <xdr:row>36</xdr:row>
      <xdr:rowOff>22225</xdr:rowOff>
    </xdr:from>
    <xdr:to>
      <xdr:col>14</xdr:col>
      <xdr:colOff>844550</xdr:colOff>
      <xdr:row>47</xdr:row>
      <xdr:rowOff>0</xdr:rowOff>
    </xdr:to>
    <xdr:graphicFrame macro="">
      <xdr:nvGraphicFramePr>
        <xdr:cNvPr id="21" name="Chart 20">
          <a:extLst>
            <a:ext uri="{FF2B5EF4-FFF2-40B4-BE49-F238E27FC236}">
              <a16:creationId xmlns:a16="http://schemas.microsoft.com/office/drawing/2014/main" id="{07C9C13A-F2D9-9C9B-88B6-7B818F041B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0</xdr:colOff>
      <xdr:row>36</xdr:row>
      <xdr:rowOff>6350</xdr:rowOff>
    </xdr:from>
    <xdr:to>
      <xdr:col>8</xdr:col>
      <xdr:colOff>603250</xdr:colOff>
      <xdr:row>54</xdr:row>
      <xdr:rowOff>139700</xdr:rowOff>
    </xdr:to>
    <xdr:sp macro="" textlink="">
      <xdr:nvSpPr>
        <xdr:cNvPr id="22" name="TextBox 21">
          <a:extLst>
            <a:ext uri="{FF2B5EF4-FFF2-40B4-BE49-F238E27FC236}">
              <a16:creationId xmlns:a16="http://schemas.microsoft.com/office/drawing/2014/main" id="{05E19FEA-0DF6-6416-BC0B-36088B8A1EA2}"/>
            </a:ext>
          </a:extLst>
        </xdr:cNvPr>
        <xdr:cNvSpPr txBox="1"/>
      </xdr:nvSpPr>
      <xdr:spPr>
        <a:xfrm>
          <a:off x="127000" y="6635750"/>
          <a:ext cx="4870450" cy="34480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171450" indent="-171450">
            <a:buFont typeface="Arial" panose="020B0604020202020204" pitchFamily="34" charset="0"/>
            <a:buChar char="•"/>
          </a:pP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Apple’s business remains heavily reliant on the iPhone, which accounts for more than half its revenue,</a:t>
          </a:r>
          <a:r>
            <a:rPr lang="en-US" sz="1000" b="0" i="0" u="none" strike="noStrike" baseline="0">
              <a:solidFill>
                <a:schemeClr val="dk1"/>
              </a:solidFill>
              <a:effectLst/>
              <a:latin typeface="Times New Roman" panose="02020603050405020304" pitchFamily="18" charset="0"/>
              <a:ea typeface="+mn-ea"/>
              <a:cs typeface="Times New Roman" panose="02020603050405020304" pitchFamily="18" charset="0"/>
            </a:rPr>
            <a:t> a</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nd sales in that market have stagnated. That’s made it</a:t>
          </a:r>
          <a:r>
            <a:rPr lang="en-US" sz="1000" b="0" i="0" u="none" strike="noStrike" baseline="0">
              <a:solidFill>
                <a:schemeClr val="dk1"/>
              </a:solidFill>
              <a:effectLst/>
              <a:latin typeface="Times New Roman" panose="02020603050405020304" pitchFamily="18" charset="0"/>
              <a:ea typeface="+mn-ea"/>
              <a:cs typeface="Times New Roman" panose="02020603050405020304" pitchFamily="18" charset="0"/>
            </a:rPr>
            <a:t>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important for the company to find a major new product category. The Vision Pro headset will take some years to create a strong</a:t>
          </a:r>
          <a:r>
            <a:rPr lang="en-US" sz="1000" b="0" i="0" u="none" strike="noStrike" baseline="0">
              <a:solidFill>
                <a:schemeClr val="dk1"/>
              </a:solidFill>
              <a:effectLst/>
              <a:latin typeface="Times New Roman" panose="02020603050405020304" pitchFamily="18" charset="0"/>
              <a:ea typeface="+mn-ea"/>
              <a:cs typeface="Times New Roman" panose="02020603050405020304" pitchFamily="18" charset="0"/>
            </a:rPr>
            <a:t> market</a:t>
          </a:r>
          <a:endParaRPr lang="en-US" sz="1000" b="0" i="0" u="none" strike="noStrike">
            <a:solidFill>
              <a:schemeClr val="dk1"/>
            </a:solidFill>
            <a:effectLst/>
            <a:latin typeface="Times New Roman" panose="02020603050405020304" pitchFamily="18" charset="0"/>
            <a:ea typeface="+mn-ea"/>
            <a:cs typeface="Times New Roman" panose="02020603050405020304" pitchFamily="18" charset="0"/>
          </a:endParaRPr>
        </a:p>
        <a:p>
          <a:pPr marL="171450" indent="-171450">
            <a:buFont typeface="Arial" panose="020B0604020202020204" pitchFamily="34" charset="0"/>
            <a:buChar char="•"/>
          </a:pPr>
          <a:endParaRPr lang="en-US" sz="1000" b="0" i="0" u="none" strike="noStrike">
            <a:solidFill>
              <a:schemeClr val="dk1"/>
            </a:solidFill>
            <a:effectLst/>
            <a:latin typeface="Times New Roman" panose="02020603050405020304" pitchFamily="18" charset="0"/>
            <a:ea typeface="+mn-ea"/>
            <a:cs typeface="Times New Roman" panose="02020603050405020304" pitchFamily="18" charset="0"/>
          </a:endParaRPr>
        </a:p>
        <a:p>
          <a:pPr marL="171450" indent="-171450">
            <a:buFont typeface="Arial" panose="020B0604020202020204" pitchFamily="34" charset="0"/>
            <a:buChar char="•"/>
          </a:pP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Apple is currently grappling with legal and regulatory challenges arising from its pursuit of a dominant market position. This</a:t>
          </a:r>
          <a:r>
            <a:rPr lang="en-US" sz="1000" b="0" i="0" u="none" strike="noStrike" baseline="0">
              <a:solidFill>
                <a:schemeClr val="dk1"/>
              </a:solidFill>
              <a:effectLst/>
              <a:latin typeface="Times New Roman" panose="02020603050405020304" pitchFamily="18" charset="0"/>
              <a:ea typeface="+mn-ea"/>
              <a:cs typeface="Times New Roman" panose="02020603050405020304" pitchFamily="18" charset="0"/>
            </a:rPr>
            <a:t> can significantly impact Apple's revenues</a:t>
          </a:r>
        </a:p>
        <a:p>
          <a:pPr marL="171450" indent="-171450">
            <a:buFont typeface="Arial" panose="020B0604020202020204" pitchFamily="34" charset="0"/>
            <a:buChar char="•"/>
          </a:pPr>
          <a:endParaRPr lang="en-US" sz="1000" b="0" i="0" u="none" strike="noStrike" baseline="0">
            <a:solidFill>
              <a:schemeClr val="dk1"/>
            </a:solidFill>
            <a:effectLst/>
            <a:latin typeface="Times New Roman" panose="02020603050405020304" pitchFamily="18" charset="0"/>
            <a:ea typeface="+mn-ea"/>
            <a:cs typeface="Times New Roman" panose="02020603050405020304" pitchFamily="18" charset="0"/>
          </a:endParaRPr>
        </a:p>
        <a:p>
          <a:pPr marL="171450" indent="-171450">
            <a:buFont typeface="Arial" panose="020B0604020202020204" pitchFamily="34" charset="0"/>
            <a:buChar char="•"/>
          </a:pPr>
          <a:r>
            <a:rPr lang="en-US" sz="1000" b="0" i="0" u="none" strike="noStrike" baseline="0">
              <a:solidFill>
                <a:schemeClr val="dk1"/>
              </a:solidFill>
              <a:effectLst/>
              <a:latin typeface="Times New Roman" panose="02020603050405020304" pitchFamily="18" charset="0"/>
              <a:ea typeface="+mn-ea"/>
              <a:cs typeface="Times New Roman" panose="02020603050405020304" pitchFamily="18" charset="0"/>
            </a:rPr>
            <a:t>iPhone sales in China fell below 16% from 19% due to strong competition from domestic brands like Huawei. Apple has lost its position as the top smartphone seller in China, falling to third place behind Vivo and Honor (former Huawei subsidiary) </a:t>
          </a:r>
        </a:p>
        <a:p>
          <a:pPr marL="171450" indent="-171450">
            <a:buFont typeface="Arial" panose="020B0604020202020204" pitchFamily="34" charset="0"/>
            <a:buChar char="•"/>
          </a:pPr>
          <a:endParaRPr lang="en-US" sz="1000" b="0" i="0" u="none" strike="noStrike" baseline="0">
            <a:solidFill>
              <a:schemeClr val="dk1"/>
            </a:solidFill>
            <a:effectLst/>
            <a:latin typeface="Times New Roman" panose="02020603050405020304" pitchFamily="18" charset="0"/>
            <a:ea typeface="+mn-ea"/>
            <a:cs typeface="Times New Roman" panose="02020603050405020304" pitchFamily="18" charset="0"/>
          </a:endParaRPr>
        </a:p>
        <a:p>
          <a:pPr marL="171450" indent="-171450">
            <a:buFont typeface="Arial" panose="020B0604020202020204" pitchFamily="34" charset="0"/>
            <a:buChar char="•"/>
          </a:pPr>
          <a:r>
            <a:rPr lang="en-US" sz="1000" b="0" i="0" u="none" strike="noStrike" baseline="0">
              <a:solidFill>
                <a:schemeClr val="dk1"/>
              </a:solidFill>
              <a:effectLst/>
              <a:latin typeface="Times New Roman" panose="02020603050405020304" pitchFamily="18" charset="0"/>
              <a:ea typeface="+mn-ea"/>
              <a:cs typeface="Times New Roman" panose="02020603050405020304" pitchFamily="18" charset="0"/>
            </a:rPr>
            <a:t>In 2024, Apple launched 2 new iPads, Vision Pro headset, M3 Macbook Air, and it seems these are likely introduced to compensate for the declining iPhone revenues</a:t>
          </a:r>
        </a:p>
        <a:p>
          <a:pPr marL="171450" indent="-171450">
            <a:buFont typeface="Arial" panose="020B0604020202020204" pitchFamily="34" charset="0"/>
            <a:buChar char="•"/>
          </a:pPr>
          <a:endParaRPr lang="en-US" sz="1000" b="0" i="0" u="none" strike="noStrike" baseline="0">
            <a:solidFill>
              <a:schemeClr val="dk1"/>
            </a:solidFill>
            <a:effectLst/>
            <a:latin typeface="Times New Roman" panose="02020603050405020304" pitchFamily="18" charset="0"/>
            <a:ea typeface="+mn-ea"/>
            <a:cs typeface="Times New Roman" panose="02020603050405020304" pitchFamily="18" charset="0"/>
          </a:endParaRPr>
        </a:p>
        <a:p>
          <a:pPr marL="171450" indent="-171450">
            <a:buFont typeface="Arial" panose="020B0604020202020204" pitchFamily="34" charset="0"/>
            <a:buChar char="•"/>
          </a:pPr>
          <a:r>
            <a:rPr lang="en-US" sz="1000" b="0" i="0" u="none" strike="noStrike" baseline="0">
              <a:solidFill>
                <a:schemeClr val="dk1"/>
              </a:solidFill>
              <a:effectLst/>
              <a:latin typeface="Times New Roman" panose="02020603050405020304" pitchFamily="18" charset="0"/>
              <a:ea typeface="+mn-ea"/>
              <a:cs typeface="Times New Roman" panose="02020603050405020304" pitchFamily="18" charset="0"/>
            </a:rPr>
            <a:t>Apple needs to introduce new AI features and clarify its AI strategies that make the company more competitive in this field, but it is unclear if it will do much to increase sales for the company</a:t>
          </a:r>
        </a:p>
        <a:p>
          <a:pPr marL="171450" indent="-171450">
            <a:buFont typeface="Arial" panose="020B0604020202020204" pitchFamily="34" charset="0"/>
            <a:buChar char="•"/>
          </a:pPr>
          <a:endParaRPr lang="en-US" sz="1000" b="0" i="0" u="none" strike="noStrike" baseline="0">
            <a:solidFill>
              <a:schemeClr val="dk1"/>
            </a:solidFill>
            <a:effectLst/>
            <a:latin typeface="+mn-lt"/>
            <a:ea typeface="+mn-ea"/>
            <a:cs typeface="+mn-cs"/>
          </a:endParaRPr>
        </a:p>
        <a:p>
          <a:pPr marL="171450" indent="-171450">
            <a:buFont typeface="Arial" panose="020B0604020202020204" pitchFamily="34" charset="0"/>
            <a:buChar char="•"/>
          </a:pPr>
          <a:r>
            <a:rPr lang="en-US" sz="1000" b="0" i="0" u="none" strike="noStrike" baseline="0">
              <a:solidFill>
                <a:schemeClr val="dk1"/>
              </a:solidFill>
              <a:effectLst/>
              <a:latin typeface="+mn-lt"/>
              <a:ea typeface="+mn-ea"/>
              <a:cs typeface="+mn-cs"/>
            </a:rPr>
            <a:t>FY 2024 might be a soft fiscal for Apple but sales are expected to boost in 2025 as Apple is expected to announce the release of iPhone 16 and have generative AI announcements.</a:t>
          </a:r>
        </a:p>
        <a:p>
          <a:pPr marL="171450" indent="-171450">
            <a:buFont typeface="Arial" panose="020B0604020202020204" pitchFamily="34" charset="0"/>
            <a:buChar char="•"/>
          </a:pPr>
          <a:endParaRPr lang="en-US" sz="1000" b="0" i="0" u="none" strike="noStrike">
            <a:solidFill>
              <a:schemeClr val="dk1"/>
            </a:solidFill>
            <a:effectLst/>
            <a:latin typeface="+mn-lt"/>
            <a:ea typeface="+mn-ea"/>
            <a:cs typeface="+mn-cs"/>
          </a:endParaRPr>
        </a:p>
        <a:p>
          <a:pPr marL="171450" indent="-171450">
            <a:buFont typeface="Arial" panose="020B0604020202020204" pitchFamily="34" charset="0"/>
            <a:buChar char="•"/>
          </a:pPr>
          <a:endParaRPr lang="en-US" sz="1100" b="0" i="0" u="none" strike="noStrike">
            <a:solidFill>
              <a:schemeClr val="dk1"/>
            </a:solidFill>
            <a:effectLst/>
            <a:latin typeface="+mn-lt"/>
            <a:ea typeface="+mn-ea"/>
            <a:cs typeface="+mn-cs"/>
          </a:endParaRPr>
        </a:p>
        <a:p>
          <a:pPr marL="171450" indent="-171450">
            <a:buFont typeface="Arial" panose="020B0604020202020204" pitchFamily="34" charset="0"/>
            <a:buChar char="•"/>
          </a:pPr>
          <a:endParaRPr lang="en-US" sz="1100" b="0" i="0" u="none" strike="noStrike">
            <a:solidFill>
              <a:schemeClr val="dk1"/>
            </a:solidFill>
            <a:effectLst/>
            <a:latin typeface="+mn-lt"/>
            <a:ea typeface="+mn-ea"/>
            <a:cs typeface="+mn-cs"/>
          </a:endParaRPr>
        </a:p>
      </xdr:txBody>
    </xdr:sp>
    <xdr:clientData/>
  </xdr:twoCellAnchor>
  <xdr:twoCellAnchor>
    <xdr:from>
      <xdr:col>1</xdr:col>
      <xdr:colOff>19050</xdr:colOff>
      <xdr:row>28</xdr:row>
      <xdr:rowOff>152400</xdr:rowOff>
    </xdr:from>
    <xdr:to>
      <xdr:col>9</xdr:col>
      <xdr:colOff>6350</xdr:colOff>
      <xdr:row>34</xdr:row>
      <xdr:rowOff>25400</xdr:rowOff>
    </xdr:to>
    <xdr:sp macro="" textlink="">
      <xdr:nvSpPr>
        <xdr:cNvPr id="6" name="TextBox 5">
          <a:extLst>
            <a:ext uri="{FF2B5EF4-FFF2-40B4-BE49-F238E27FC236}">
              <a16:creationId xmlns:a16="http://schemas.microsoft.com/office/drawing/2014/main" id="{87F5625C-171B-0FA8-3437-74608080ABD9}"/>
            </a:ext>
          </a:extLst>
        </xdr:cNvPr>
        <xdr:cNvSpPr txBox="1"/>
      </xdr:nvSpPr>
      <xdr:spPr>
        <a:xfrm>
          <a:off x="146050" y="5308600"/>
          <a:ext cx="4864100" cy="9779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171450" indent="-171450">
            <a:buFont typeface="Arial" panose="020B0604020202020204" pitchFamily="34" charset="0"/>
            <a:buChar char="•"/>
          </a:pPr>
          <a:r>
            <a:rPr lang="en-US" sz="1000">
              <a:latin typeface="Times New Roman" panose="02020603050405020304" pitchFamily="18" charset="0"/>
              <a:cs typeface="Times New Roman" panose="02020603050405020304" pitchFamily="18" charset="0"/>
            </a:rPr>
            <a:t>Strong brand value</a:t>
          </a:r>
        </a:p>
        <a:p>
          <a:pPr marL="171450" indent="-171450">
            <a:buFont typeface="Arial" panose="020B0604020202020204" pitchFamily="34" charset="0"/>
            <a:buChar char="•"/>
          </a:pPr>
          <a:r>
            <a:rPr lang="en-US" sz="1000">
              <a:latin typeface="Times New Roman" panose="02020603050405020304" pitchFamily="18" charset="0"/>
              <a:cs typeface="Times New Roman" panose="02020603050405020304" pitchFamily="18" charset="0"/>
            </a:rPr>
            <a:t>High</a:t>
          </a:r>
          <a:r>
            <a:rPr lang="en-US" sz="1000" baseline="0">
              <a:latin typeface="Times New Roman" panose="02020603050405020304" pitchFamily="18" charset="0"/>
              <a:cs typeface="Times New Roman" panose="02020603050405020304" pitchFamily="18" charset="0"/>
            </a:rPr>
            <a:t> switching costs</a:t>
          </a:r>
        </a:p>
        <a:p>
          <a:pPr marL="171450" indent="-171450">
            <a:buFont typeface="Arial" panose="020B0604020202020204" pitchFamily="34" charset="0"/>
            <a:buChar char="•"/>
          </a:pPr>
          <a:r>
            <a:rPr lang="en-US" sz="1000" baseline="0">
              <a:latin typeface="Times New Roman" panose="02020603050405020304" pitchFamily="18" charset="0"/>
              <a:cs typeface="Times New Roman" panose="02020603050405020304" pitchFamily="18" charset="0"/>
            </a:rPr>
            <a:t>Product Differentiation </a:t>
          </a:r>
        </a:p>
        <a:p>
          <a:pPr marL="171450" indent="-171450">
            <a:buFont typeface="Arial" panose="020B0604020202020204" pitchFamily="34" charset="0"/>
            <a:buChar char="•"/>
          </a:pPr>
          <a:r>
            <a:rPr lang="en-US" sz="1000" baseline="0">
              <a:latin typeface="Times New Roman" panose="02020603050405020304" pitchFamily="18" charset="0"/>
              <a:cs typeface="Times New Roman" panose="02020603050405020304" pitchFamily="18" charset="0"/>
            </a:rPr>
            <a:t>Supply Chain Expertise </a:t>
          </a:r>
        </a:p>
        <a:p>
          <a:pPr marL="171450" indent="-171450">
            <a:buFont typeface="Arial" panose="020B0604020202020204" pitchFamily="34" charset="0"/>
            <a:buChar char="•"/>
          </a:pPr>
          <a:r>
            <a:rPr lang="en-US" sz="1000" baseline="0">
              <a:latin typeface="Times New Roman" panose="02020603050405020304" pitchFamily="18" charset="0"/>
              <a:cs typeface="Times New Roman" panose="02020603050405020304" pitchFamily="18" charset="0"/>
            </a:rPr>
            <a:t>Interconnected Products </a:t>
          </a:r>
        </a:p>
        <a:p>
          <a:pPr marL="171450" indent="-171450">
            <a:buFont typeface="Arial" panose="020B0604020202020204" pitchFamily="34" charset="0"/>
            <a:buChar char="•"/>
          </a:pPr>
          <a:endParaRPr lang="en-US" sz="1000" baseline="0">
            <a:latin typeface="Times New Roman" panose="02020603050405020304" pitchFamily="18" charset="0"/>
            <a:cs typeface="Times New Roman" panose="02020603050405020304" pitchFamily="18" charset="0"/>
          </a:endParaRPr>
        </a:p>
        <a:p>
          <a:pPr marL="171450" indent="-171450">
            <a:buFont typeface="Arial" panose="020B0604020202020204" pitchFamily="34" charset="0"/>
            <a:buChar char="•"/>
          </a:pPr>
          <a:endParaRPr lang="en-US" sz="1000">
            <a:latin typeface="Times New Roman" panose="02020603050405020304" pitchFamily="18" charset="0"/>
            <a:cs typeface="Times New Roman" panose="02020603050405020304" pitchFamily="18" charset="0"/>
          </a:endParaRPr>
        </a:p>
      </xdr:txBody>
    </xdr:sp>
    <xdr:clientData/>
  </xdr:twoCellAnchor>
  <xdr:twoCellAnchor>
    <xdr:from>
      <xdr:col>9</xdr:col>
      <xdr:colOff>603250</xdr:colOff>
      <xdr:row>10</xdr:row>
      <xdr:rowOff>76200</xdr:rowOff>
    </xdr:from>
    <xdr:to>
      <xdr:col>14</xdr:col>
      <xdr:colOff>812800</xdr:colOff>
      <xdr:row>17</xdr:row>
      <xdr:rowOff>82550</xdr:rowOff>
    </xdr:to>
    <xdr:graphicFrame macro="">
      <xdr:nvGraphicFramePr>
        <xdr:cNvPr id="14" name="Chart 13">
          <a:extLst>
            <a:ext uri="{FF2B5EF4-FFF2-40B4-BE49-F238E27FC236}">
              <a16:creationId xmlns:a16="http://schemas.microsoft.com/office/drawing/2014/main" id="{CBC96CE3-CACF-440E-A95E-30DCA6F312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25149</xdr:colOff>
      <xdr:row>0</xdr:row>
      <xdr:rowOff>0</xdr:rowOff>
    </xdr:from>
    <xdr:to>
      <xdr:col>1</xdr:col>
      <xdr:colOff>1894264</xdr:colOff>
      <xdr:row>3</xdr:row>
      <xdr:rowOff>14440</xdr:rowOff>
    </xdr:to>
    <xdr:pic>
      <xdr:nvPicPr>
        <xdr:cNvPr id="3" name="Picture 2">
          <a:extLst>
            <a:ext uri="{FF2B5EF4-FFF2-40B4-BE49-F238E27FC236}">
              <a16:creationId xmlns:a16="http://schemas.microsoft.com/office/drawing/2014/main" id="{F7828DA8-449B-434C-90D6-346CE95E3E4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149" y="0"/>
          <a:ext cx="1996115" cy="74469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117475</xdr:colOff>
      <xdr:row>23</xdr:row>
      <xdr:rowOff>57149</xdr:rowOff>
    </xdr:from>
    <xdr:to>
      <xdr:col>5</xdr:col>
      <xdr:colOff>19050</xdr:colOff>
      <xdr:row>37</xdr:row>
      <xdr:rowOff>92074</xdr:rowOff>
    </xdr:to>
    <xdr:graphicFrame macro="">
      <xdr:nvGraphicFramePr>
        <xdr:cNvPr id="9" name="Chart 8">
          <a:extLst>
            <a:ext uri="{FF2B5EF4-FFF2-40B4-BE49-F238E27FC236}">
              <a16:creationId xmlns:a16="http://schemas.microsoft.com/office/drawing/2014/main" id="{B9085FA7-31D7-9FBA-581A-94F346FB98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12701</xdr:colOff>
      <xdr:row>23</xdr:row>
      <xdr:rowOff>79375</xdr:rowOff>
    </xdr:from>
    <xdr:to>
      <xdr:col>10</xdr:col>
      <xdr:colOff>19050</xdr:colOff>
      <xdr:row>37</xdr:row>
      <xdr:rowOff>88900</xdr:rowOff>
    </xdr:to>
    <xdr:graphicFrame macro="">
      <xdr:nvGraphicFramePr>
        <xdr:cNvPr id="11" name="Chart 10">
          <a:extLst>
            <a:ext uri="{FF2B5EF4-FFF2-40B4-BE49-F238E27FC236}">
              <a16:creationId xmlns:a16="http://schemas.microsoft.com/office/drawing/2014/main" id="{8F89B245-E964-E5BE-15F5-9F58F2B986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155575</xdr:colOff>
      <xdr:row>23</xdr:row>
      <xdr:rowOff>88899</xdr:rowOff>
    </xdr:from>
    <xdr:to>
      <xdr:col>14</xdr:col>
      <xdr:colOff>1085850</xdr:colOff>
      <xdr:row>37</xdr:row>
      <xdr:rowOff>98424</xdr:rowOff>
    </xdr:to>
    <xdr:graphicFrame macro="">
      <xdr:nvGraphicFramePr>
        <xdr:cNvPr id="13" name="Chart 12">
          <a:extLst>
            <a:ext uri="{FF2B5EF4-FFF2-40B4-BE49-F238E27FC236}">
              <a16:creationId xmlns:a16="http://schemas.microsoft.com/office/drawing/2014/main" id="{461ABFA0-E7C2-97FF-D991-44705F0310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12700</xdr:colOff>
      <xdr:row>0</xdr:row>
      <xdr:rowOff>0</xdr:rowOff>
    </xdr:from>
    <xdr:to>
      <xdr:col>2</xdr:col>
      <xdr:colOff>1067758</xdr:colOff>
      <xdr:row>4</xdr:row>
      <xdr:rowOff>7147</xdr:rowOff>
    </xdr:to>
    <xdr:pic>
      <xdr:nvPicPr>
        <xdr:cNvPr id="4" name="Picture 3">
          <a:extLst>
            <a:ext uri="{FF2B5EF4-FFF2-40B4-BE49-F238E27FC236}">
              <a16:creationId xmlns:a16="http://schemas.microsoft.com/office/drawing/2014/main" id="{465C02E9-62EC-4603-9500-F483D67EA1ED}"/>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12700" y="0"/>
          <a:ext cx="1994858" cy="743747"/>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1869056</xdr:colOff>
      <xdr:row>4</xdr:row>
      <xdr:rowOff>917</xdr:rowOff>
    </xdr:to>
    <xdr:pic>
      <xdr:nvPicPr>
        <xdr:cNvPr id="5" name="Picture 4">
          <a:extLst>
            <a:ext uri="{FF2B5EF4-FFF2-40B4-BE49-F238E27FC236}">
              <a16:creationId xmlns:a16="http://schemas.microsoft.com/office/drawing/2014/main" id="{CDEF8C6B-4C65-F321-A967-708B6C998B6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994858" cy="743747"/>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1867858</xdr:colOff>
      <xdr:row>4</xdr:row>
      <xdr:rowOff>7147</xdr:rowOff>
    </xdr:to>
    <xdr:pic>
      <xdr:nvPicPr>
        <xdr:cNvPr id="2" name="Picture 1">
          <a:extLst>
            <a:ext uri="{FF2B5EF4-FFF2-40B4-BE49-F238E27FC236}">
              <a16:creationId xmlns:a16="http://schemas.microsoft.com/office/drawing/2014/main" id="{7844CE06-B088-45D4-9CE6-18B2F59DF49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994858" cy="743747"/>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1869056</xdr:colOff>
      <xdr:row>4</xdr:row>
      <xdr:rowOff>917</xdr:rowOff>
    </xdr:to>
    <xdr:pic>
      <xdr:nvPicPr>
        <xdr:cNvPr id="2" name="Picture 1">
          <a:extLst>
            <a:ext uri="{FF2B5EF4-FFF2-40B4-BE49-F238E27FC236}">
              <a16:creationId xmlns:a16="http://schemas.microsoft.com/office/drawing/2014/main" id="{E03E650F-5590-430B-AB6B-10A2ACAF40D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996056" cy="737517"/>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25400</xdr:colOff>
      <xdr:row>0</xdr:row>
      <xdr:rowOff>0</xdr:rowOff>
    </xdr:from>
    <xdr:to>
      <xdr:col>3</xdr:col>
      <xdr:colOff>351406</xdr:colOff>
      <xdr:row>4</xdr:row>
      <xdr:rowOff>917</xdr:rowOff>
    </xdr:to>
    <xdr:pic>
      <xdr:nvPicPr>
        <xdr:cNvPr id="2" name="Picture 1">
          <a:extLst>
            <a:ext uri="{FF2B5EF4-FFF2-40B4-BE49-F238E27FC236}">
              <a16:creationId xmlns:a16="http://schemas.microsoft.com/office/drawing/2014/main" id="{73696296-3DF4-487A-803B-034FFA77FF0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400" y="0"/>
          <a:ext cx="1996056" cy="737517"/>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38100</xdr:colOff>
      <xdr:row>0</xdr:row>
      <xdr:rowOff>0</xdr:rowOff>
    </xdr:from>
    <xdr:to>
      <xdr:col>4</xdr:col>
      <xdr:colOff>78356</xdr:colOff>
      <xdr:row>4</xdr:row>
      <xdr:rowOff>917</xdr:rowOff>
    </xdr:to>
    <xdr:pic>
      <xdr:nvPicPr>
        <xdr:cNvPr id="2" name="Picture 1">
          <a:extLst>
            <a:ext uri="{FF2B5EF4-FFF2-40B4-BE49-F238E27FC236}">
              <a16:creationId xmlns:a16="http://schemas.microsoft.com/office/drawing/2014/main" id="{1FAA2E5B-AC73-4958-8C60-87A57E42688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8100" y="0"/>
          <a:ext cx="1996056" cy="737517"/>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40256</xdr:colOff>
      <xdr:row>4</xdr:row>
      <xdr:rowOff>917</xdr:rowOff>
    </xdr:to>
    <xdr:pic>
      <xdr:nvPicPr>
        <xdr:cNvPr id="2" name="Picture 1">
          <a:extLst>
            <a:ext uri="{FF2B5EF4-FFF2-40B4-BE49-F238E27FC236}">
              <a16:creationId xmlns:a16="http://schemas.microsoft.com/office/drawing/2014/main" id="{AEE33C0F-DEEA-4AAC-8CB5-C3D9115B832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996056" cy="737517"/>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44450</xdr:colOff>
      <xdr:row>0</xdr:row>
      <xdr:rowOff>0</xdr:rowOff>
    </xdr:from>
    <xdr:to>
      <xdr:col>4</xdr:col>
      <xdr:colOff>84706</xdr:colOff>
      <xdr:row>4</xdr:row>
      <xdr:rowOff>917</xdr:rowOff>
    </xdr:to>
    <xdr:pic>
      <xdr:nvPicPr>
        <xdr:cNvPr id="2" name="Picture 1">
          <a:extLst>
            <a:ext uri="{FF2B5EF4-FFF2-40B4-BE49-F238E27FC236}">
              <a16:creationId xmlns:a16="http://schemas.microsoft.com/office/drawing/2014/main" id="{4195B750-6CBD-4A3E-A519-02B40DAD6D6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4450" y="0"/>
          <a:ext cx="1996056" cy="737517"/>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7</xdr:col>
      <xdr:colOff>114300</xdr:colOff>
      <xdr:row>35</xdr:row>
      <xdr:rowOff>139700</xdr:rowOff>
    </xdr:from>
    <xdr:to>
      <xdr:col>14</xdr:col>
      <xdr:colOff>139700</xdr:colOff>
      <xdr:row>50</xdr:row>
      <xdr:rowOff>120650</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68429727-9017-4467-88DE-BCD40118A9A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505450" y="6584950"/>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0</xdr:col>
      <xdr:colOff>25400</xdr:colOff>
      <xdr:row>0</xdr:row>
      <xdr:rowOff>0</xdr:rowOff>
    </xdr:from>
    <xdr:to>
      <xdr:col>3</xdr:col>
      <xdr:colOff>402206</xdr:colOff>
      <xdr:row>4</xdr:row>
      <xdr:rowOff>917</xdr:rowOff>
    </xdr:to>
    <xdr:pic>
      <xdr:nvPicPr>
        <xdr:cNvPr id="2" name="Picture 1">
          <a:extLst>
            <a:ext uri="{FF2B5EF4-FFF2-40B4-BE49-F238E27FC236}">
              <a16:creationId xmlns:a16="http://schemas.microsoft.com/office/drawing/2014/main" id="{8403AEA3-B876-4B11-89A0-DCCA0F36CEF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5400" y="0"/>
          <a:ext cx="1996056" cy="737517"/>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12700</xdr:colOff>
      <xdr:row>0</xdr:row>
      <xdr:rowOff>0</xdr:rowOff>
    </xdr:from>
    <xdr:to>
      <xdr:col>4</xdr:col>
      <xdr:colOff>52956</xdr:colOff>
      <xdr:row>4</xdr:row>
      <xdr:rowOff>917</xdr:rowOff>
    </xdr:to>
    <xdr:pic>
      <xdr:nvPicPr>
        <xdr:cNvPr id="3" name="Picture 2">
          <a:extLst>
            <a:ext uri="{FF2B5EF4-FFF2-40B4-BE49-F238E27FC236}">
              <a16:creationId xmlns:a16="http://schemas.microsoft.com/office/drawing/2014/main" id="{FC24B1CB-88B8-4D69-8616-B0AA208B66E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2700" y="0"/>
          <a:ext cx="1996056" cy="737517"/>
        </a:xfrm>
        <a:prstGeom prst="rect">
          <a:avLst/>
        </a:prstGeom>
      </xdr:spPr>
    </xdr:pic>
    <xdr:clientData/>
  </xdr:twoCellAnchor>
  <xdr:twoCellAnchor>
    <xdr:from>
      <xdr:col>1</xdr:col>
      <xdr:colOff>66675</xdr:colOff>
      <xdr:row>4</xdr:row>
      <xdr:rowOff>79375</xdr:rowOff>
    </xdr:from>
    <xdr:to>
      <xdr:col>4</xdr:col>
      <xdr:colOff>165100</xdr:colOff>
      <xdr:row>13</xdr:row>
      <xdr:rowOff>107950</xdr:rowOff>
    </xdr:to>
    <xdr:graphicFrame macro="">
      <xdr:nvGraphicFramePr>
        <xdr:cNvPr id="5" name="Chart 4">
          <a:extLst>
            <a:ext uri="{FF2B5EF4-FFF2-40B4-BE49-F238E27FC236}">
              <a16:creationId xmlns:a16="http://schemas.microsoft.com/office/drawing/2014/main" id="{673E8B66-4F1B-96E1-631A-384B5CCFED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552450</xdr:colOff>
      <xdr:row>4</xdr:row>
      <xdr:rowOff>76201</xdr:rowOff>
    </xdr:from>
    <xdr:to>
      <xdr:col>11</xdr:col>
      <xdr:colOff>88899</xdr:colOff>
      <xdr:row>13</xdr:row>
      <xdr:rowOff>120651</xdr:rowOff>
    </xdr:to>
    <xdr:graphicFrame macro="">
      <xdr:nvGraphicFramePr>
        <xdr:cNvPr id="7" name="Chart 6">
          <a:extLst>
            <a:ext uri="{FF2B5EF4-FFF2-40B4-BE49-F238E27FC236}">
              <a16:creationId xmlns:a16="http://schemas.microsoft.com/office/drawing/2014/main" id="{B37F1FEC-2D2E-4D82-93AD-8503331C48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279401</xdr:colOff>
      <xdr:row>4</xdr:row>
      <xdr:rowOff>82550</xdr:rowOff>
    </xdr:from>
    <xdr:to>
      <xdr:col>7</xdr:col>
      <xdr:colOff>444501</xdr:colOff>
      <xdr:row>13</xdr:row>
      <xdr:rowOff>120651</xdr:rowOff>
    </xdr:to>
    <xdr:graphicFrame macro="">
      <xdr:nvGraphicFramePr>
        <xdr:cNvPr id="8" name="Chart 7">
          <a:extLst>
            <a:ext uri="{FF2B5EF4-FFF2-40B4-BE49-F238E27FC236}">
              <a16:creationId xmlns:a16="http://schemas.microsoft.com/office/drawing/2014/main" id="{921CAEE8-2284-4079-9B81-389AB09088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63500</xdr:colOff>
      <xdr:row>14</xdr:row>
      <xdr:rowOff>69850</xdr:rowOff>
    </xdr:from>
    <xdr:to>
      <xdr:col>4</xdr:col>
      <xdr:colOff>165099</xdr:colOff>
      <xdr:row>23</xdr:row>
      <xdr:rowOff>120650</xdr:rowOff>
    </xdr:to>
    <xdr:graphicFrame macro="">
      <xdr:nvGraphicFramePr>
        <xdr:cNvPr id="9" name="Chart 8">
          <a:extLst>
            <a:ext uri="{FF2B5EF4-FFF2-40B4-BE49-F238E27FC236}">
              <a16:creationId xmlns:a16="http://schemas.microsoft.com/office/drawing/2014/main" id="{F62E604C-EE56-41E3-8ABB-252E9B558E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558801</xdr:colOff>
      <xdr:row>14</xdr:row>
      <xdr:rowOff>82551</xdr:rowOff>
    </xdr:from>
    <xdr:to>
      <xdr:col>11</xdr:col>
      <xdr:colOff>76201</xdr:colOff>
      <xdr:row>23</xdr:row>
      <xdr:rowOff>133350</xdr:rowOff>
    </xdr:to>
    <xdr:graphicFrame macro="">
      <xdr:nvGraphicFramePr>
        <xdr:cNvPr id="11" name="Chart 10">
          <a:extLst>
            <a:ext uri="{FF2B5EF4-FFF2-40B4-BE49-F238E27FC236}">
              <a16:creationId xmlns:a16="http://schemas.microsoft.com/office/drawing/2014/main" id="{3D5FA992-6BF9-4819-A38B-49860043BB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266701</xdr:colOff>
      <xdr:row>14</xdr:row>
      <xdr:rowOff>88901</xdr:rowOff>
    </xdr:from>
    <xdr:to>
      <xdr:col>7</xdr:col>
      <xdr:colOff>431801</xdr:colOff>
      <xdr:row>23</xdr:row>
      <xdr:rowOff>133351</xdr:rowOff>
    </xdr:to>
    <xdr:graphicFrame macro="">
      <xdr:nvGraphicFramePr>
        <xdr:cNvPr id="14" name="Chart 13">
          <a:extLst>
            <a:ext uri="{FF2B5EF4-FFF2-40B4-BE49-F238E27FC236}">
              <a16:creationId xmlns:a16="http://schemas.microsoft.com/office/drawing/2014/main" id="{7A97EB8E-3169-40CC-8340-9E81B30866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11</xdr:col>
      <xdr:colOff>190500</xdr:colOff>
      <xdr:row>4</xdr:row>
      <xdr:rowOff>76200</xdr:rowOff>
    </xdr:from>
    <xdr:to>
      <xdr:col>14</xdr:col>
      <xdr:colOff>336549</xdr:colOff>
      <xdr:row>13</xdr:row>
      <xdr:rowOff>120650</xdr:rowOff>
    </xdr:to>
    <xdr:graphicFrame macro="">
      <xdr:nvGraphicFramePr>
        <xdr:cNvPr id="15" name="Chart 14">
          <a:extLst>
            <a:ext uri="{FF2B5EF4-FFF2-40B4-BE49-F238E27FC236}">
              <a16:creationId xmlns:a16="http://schemas.microsoft.com/office/drawing/2014/main" id="{84FC221A-1FCB-44C2-9AB6-B9FD1D21F2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xdr:col>
      <xdr:colOff>6350</xdr:colOff>
      <xdr:row>27</xdr:row>
      <xdr:rowOff>0</xdr:rowOff>
    </xdr:from>
    <xdr:to>
      <xdr:col>10</xdr:col>
      <xdr:colOff>584200</xdr:colOff>
      <xdr:row>36</xdr:row>
      <xdr:rowOff>25400</xdr:rowOff>
    </xdr:to>
    <xdr:sp macro="" textlink="">
      <xdr:nvSpPr>
        <xdr:cNvPr id="16" name="TextBox 15">
          <a:extLst>
            <a:ext uri="{FF2B5EF4-FFF2-40B4-BE49-F238E27FC236}">
              <a16:creationId xmlns:a16="http://schemas.microsoft.com/office/drawing/2014/main" id="{A9ADAED2-5166-C492-9AE8-39E01EF3B17B}"/>
            </a:ext>
          </a:extLst>
        </xdr:cNvPr>
        <xdr:cNvSpPr txBox="1"/>
      </xdr:nvSpPr>
      <xdr:spPr>
        <a:xfrm>
          <a:off x="133350" y="4972050"/>
          <a:ext cx="6064250" cy="1498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lumMod val="50000"/>
                </a:schemeClr>
              </a:solidFill>
            </a:rPr>
            <a:t>1. </a:t>
          </a:r>
          <a:r>
            <a:rPr lang="en-US" sz="1100" b="0" i="0" u="none" strike="noStrike">
              <a:solidFill>
                <a:schemeClr val="bg1">
                  <a:lumMod val="50000"/>
                </a:schemeClr>
              </a:solidFill>
              <a:effectLst/>
              <a:latin typeface="+mn-lt"/>
              <a:ea typeface="+mn-ea"/>
              <a:cs typeface="+mn-cs"/>
            </a:rPr>
            <a:t>Apple's ROE has shown a notable increase since 2019, peaking at 147.44% in 2021. This surge was primarily driven by a 33% increase in sales,</a:t>
          </a:r>
          <a:r>
            <a:rPr lang="en-US" sz="1100" b="0" i="0" u="none" strike="noStrike" baseline="0">
              <a:solidFill>
                <a:schemeClr val="bg1">
                  <a:lumMod val="50000"/>
                </a:schemeClr>
              </a:solidFill>
              <a:effectLst/>
              <a:latin typeface="+mn-lt"/>
              <a:ea typeface="+mn-ea"/>
              <a:cs typeface="+mn-cs"/>
            </a:rPr>
            <a:t> with iPhone contributing 39% of total sales</a:t>
          </a:r>
        </a:p>
        <a:p>
          <a:r>
            <a:rPr lang="en-US" sz="1100" b="0" i="0" u="none" strike="noStrike" baseline="0">
              <a:solidFill>
                <a:schemeClr val="bg1">
                  <a:lumMod val="50000"/>
                </a:schemeClr>
              </a:solidFill>
              <a:effectLst/>
              <a:latin typeface="+mn-lt"/>
              <a:ea typeface="+mn-ea"/>
              <a:cs typeface="+mn-cs"/>
            </a:rPr>
            <a:t>2. Additionally, the</a:t>
          </a:r>
          <a:r>
            <a:rPr lang="en-US" sz="1100" b="0" i="0" u="none" strike="noStrike">
              <a:solidFill>
                <a:schemeClr val="bg1">
                  <a:lumMod val="50000"/>
                </a:schemeClr>
              </a:solidFill>
              <a:effectLst/>
              <a:latin typeface="+mn-lt"/>
              <a:ea typeface="+mn-ea"/>
              <a:cs typeface="+mn-cs"/>
            </a:rPr>
            <a:t> declining shareholder's</a:t>
          </a:r>
          <a:r>
            <a:rPr lang="en-US" sz="1100" b="0" i="0" u="none" strike="noStrike" baseline="0">
              <a:solidFill>
                <a:schemeClr val="bg1">
                  <a:lumMod val="50000"/>
                </a:schemeClr>
              </a:solidFill>
              <a:effectLst/>
              <a:latin typeface="+mn-lt"/>
              <a:ea typeface="+mn-ea"/>
              <a:cs typeface="+mn-cs"/>
            </a:rPr>
            <a:t> equity primarily due to the company's substantial buyback programs further boosted the ROE</a:t>
          </a:r>
        </a:p>
        <a:p>
          <a:r>
            <a:rPr lang="en-US" sz="1100" b="0" i="0" u="none" strike="noStrike" baseline="0">
              <a:solidFill>
                <a:schemeClr val="bg1">
                  <a:lumMod val="50000"/>
                </a:schemeClr>
              </a:solidFill>
              <a:effectLst/>
              <a:latin typeface="+mn-lt"/>
              <a:ea typeface="+mn-ea"/>
              <a:cs typeface="+mn-cs"/>
            </a:rPr>
            <a:t>3. In 2022, Sales had a slower but positive growth of 7%, followed by declining shareholders equity, pushing the ROE to 175.46%. </a:t>
          </a:r>
        </a:p>
        <a:p>
          <a:r>
            <a:rPr lang="en-US" sz="1100" b="0" i="0" u="none" strike="noStrike" baseline="0">
              <a:solidFill>
                <a:schemeClr val="bg1">
                  <a:lumMod val="50000"/>
                </a:schemeClr>
              </a:solidFill>
              <a:effectLst/>
              <a:latin typeface="+mn-lt"/>
              <a:ea typeface="+mn-ea"/>
              <a:cs typeface="+mn-cs"/>
            </a:rPr>
            <a:t>4. The ROE dropped by 2% in 2023 mainly due to negative sales growth of -2% that impacted the company's net profits, however, the increasing financial leverage balanced the effect bringing the ROE to 171.95% in 2023</a:t>
          </a:r>
        </a:p>
        <a:p>
          <a:endParaRPr lang="en-US" sz="1100" b="0" i="0" u="none" strike="noStrike" baseline="0">
            <a:solidFill>
              <a:schemeClr val="dk1"/>
            </a:solidFill>
            <a:effectLst/>
            <a:latin typeface="+mn-lt"/>
            <a:ea typeface="+mn-ea"/>
            <a:cs typeface="+mn-cs"/>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958850</xdr:colOff>
      <xdr:row>2</xdr:row>
      <xdr:rowOff>88900</xdr:rowOff>
    </xdr:to>
    <xdr:pic>
      <xdr:nvPicPr>
        <xdr:cNvPr id="2" name="Picture 2">
          <a:extLst>
            <a:ext uri="{FF2B5EF4-FFF2-40B4-BE49-F238E27FC236}">
              <a16:creationId xmlns:a16="http://schemas.microsoft.com/office/drawing/2014/main" id="{4663464B-5D3D-44C0-A184-E8788DD7EC2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58850" cy="342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101600</xdr:colOff>
      <xdr:row>200</xdr:row>
      <xdr:rowOff>82550</xdr:rowOff>
    </xdr:from>
    <xdr:to>
      <xdr:col>0</xdr:col>
      <xdr:colOff>1060450</xdr:colOff>
      <xdr:row>203</xdr:row>
      <xdr:rowOff>44450</xdr:rowOff>
    </xdr:to>
    <xdr:pic>
      <xdr:nvPicPr>
        <xdr:cNvPr id="3" name="Picture 2">
          <a:extLst>
            <a:ext uri="{FF2B5EF4-FFF2-40B4-BE49-F238E27FC236}">
              <a16:creationId xmlns:a16="http://schemas.microsoft.com/office/drawing/2014/main" id="{6BACFE6A-ADB4-4D54-B09F-FFD521F587C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1600" y="82550"/>
          <a:ext cx="958850" cy="342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0</xdr:colOff>
      <xdr:row>112</xdr:row>
      <xdr:rowOff>0</xdr:rowOff>
    </xdr:from>
    <xdr:to>
      <xdr:col>0</xdr:col>
      <xdr:colOff>958850</xdr:colOff>
      <xdr:row>114</xdr:row>
      <xdr:rowOff>88900</xdr:rowOff>
    </xdr:to>
    <xdr:pic>
      <xdr:nvPicPr>
        <xdr:cNvPr id="4" name="Picture 2">
          <a:extLst>
            <a:ext uri="{FF2B5EF4-FFF2-40B4-BE49-F238E27FC236}">
              <a16:creationId xmlns:a16="http://schemas.microsoft.com/office/drawing/2014/main" id="{52A087F0-AC53-4C13-8909-45335E61EBA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58850" cy="342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0</xdr:colOff>
      <xdr:row>261</xdr:row>
      <xdr:rowOff>0</xdr:rowOff>
    </xdr:from>
    <xdr:to>
      <xdr:col>0</xdr:col>
      <xdr:colOff>958850</xdr:colOff>
      <xdr:row>263</xdr:row>
      <xdr:rowOff>88900</xdr:rowOff>
    </xdr:to>
    <xdr:pic>
      <xdr:nvPicPr>
        <xdr:cNvPr id="5" name="Picture 2">
          <a:extLst>
            <a:ext uri="{FF2B5EF4-FFF2-40B4-BE49-F238E27FC236}">
              <a16:creationId xmlns:a16="http://schemas.microsoft.com/office/drawing/2014/main" id="{31541598-75FC-4D27-B5E9-4A65E7B35EA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58850" cy="342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174019</xdr:colOff>
      <xdr:row>513</xdr:row>
      <xdr:rowOff>133495</xdr:rowOff>
    </xdr:from>
    <xdr:to>
      <xdr:col>8</xdr:col>
      <xdr:colOff>679111</xdr:colOff>
      <xdr:row>528</xdr:row>
      <xdr:rowOff>113718</xdr:rowOff>
    </xdr:to>
    <xdr:graphicFrame macro="">
      <xdr:nvGraphicFramePr>
        <xdr:cNvPr id="6" name="Chart 5">
          <a:extLst>
            <a:ext uri="{FF2B5EF4-FFF2-40B4-BE49-F238E27FC236}">
              <a16:creationId xmlns:a16="http://schemas.microsoft.com/office/drawing/2014/main" id="{40093C7C-C1E8-FE23-2CE9-C3F6460367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printerSettings" Target="../printerSettings/printerSettings8.bin"/><Relationship Id="rId2" Type="http://schemas.openxmlformats.org/officeDocument/2006/relationships/hyperlink" Target="https://pages.stern.nyu.edu/~adamodar/New_Home_Page/datafile/ctryprem.html" TargetMode="External"/><Relationship Id="rId1" Type="http://schemas.openxmlformats.org/officeDocument/2006/relationships/hyperlink" Target="https://www.bloomberg.com/markets/rates-bonds/government-bonds/us" TargetMode="External"/><Relationship Id="rId4"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hyperlink" Target="https://www.imf.org/external/datamapper/NGDP_RPCH@WEO/OEMDC/ADVEC/WEOWORLD/USA/IND" TargetMode="External"/><Relationship Id="rId2" Type="http://schemas.openxmlformats.org/officeDocument/2006/relationships/hyperlink" Target="https://pages.stern.nyu.edu/~adamodar/New_Home_Page/datacurrent.html" TargetMode="External"/><Relationship Id="rId1" Type="http://schemas.openxmlformats.org/officeDocument/2006/relationships/hyperlink" Target="https://pages.stern.nyu.edu/~adamodar/New_Home_Page/datacurrent.html" TargetMode="External"/><Relationship Id="rId5" Type="http://schemas.openxmlformats.org/officeDocument/2006/relationships/drawing" Target="../drawings/drawing9.xml"/><Relationship Id="rId4"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9941EC-3DE6-4508-B44B-B1E1C28C932B}">
  <sheetPr>
    <pageSetUpPr fitToPage="1"/>
  </sheetPr>
  <dimension ref="B2:W52"/>
  <sheetViews>
    <sheetView showGridLines="0" topLeftCell="A3" zoomScaleNormal="100" workbookViewId="0">
      <selection activeCell="S12" sqref="S12"/>
    </sheetView>
  </sheetViews>
  <sheetFormatPr defaultRowHeight="14.5" x14ac:dyDescent="0.35"/>
  <cols>
    <col min="1" max="1" width="1.81640625" customWidth="1"/>
    <col min="15" max="15" width="12.1796875" bestFit="1" customWidth="1"/>
    <col min="18" max="23" width="12.08984375" bestFit="1" customWidth="1"/>
  </cols>
  <sheetData>
    <row r="2" spans="2:15" x14ac:dyDescent="0.35">
      <c r="B2" s="231" t="s">
        <v>563</v>
      </c>
      <c r="C2" s="231"/>
      <c r="D2" s="231"/>
      <c r="E2" s="231"/>
      <c r="F2" s="231"/>
      <c r="G2" s="231"/>
      <c r="H2" s="231"/>
      <c r="I2" s="231"/>
      <c r="J2" s="231"/>
      <c r="K2" s="231"/>
      <c r="L2" s="231"/>
      <c r="M2" s="231"/>
      <c r="N2" s="231"/>
      <c r="O2" s="231"/>
    </row>
    <row r="9" spans="2:15" x14ac:dyDescent="0.35">
      <c r="B9" s="90"/>
    </row>
    <row r="10" spans="2:15" x14ac:dyDescent="0.35">
      <c r="B10" s="231" t="s">
        <v>566</v>
      </c>
      <c r="C10" s="231"/>
      <c r="D10" s="231"/>
      <c r="E10" s="231"/>
      <c r="F10" s="194">
        <f>F20</f>
        <v>2020</v>
      </c>
      <c r="G10" s="194">
        <f>G20</f>
        <v>2021</v>
      </c>
      <c r="H10" s="194">
        <f>H20</f>
        <v>2022</v>
      </c>
      <c r="I10" s="194">
        <f>I20</f>
        <v>2023</v>
      </c>
      <c r="J10" s="219"/>
      <c r="K10" s="230" t="s">
        <v>565</v>
      </c>
      <c r="L10" s="230"/>
      <c r="M10" s="230"/>
      <c r="N10" s="230"/>
      <c r="O10" s="230"/>
    </row>
    <row r="11" spans="2:15" x14ac:dyDescent="0.35">
      <c r="B11" t="str">
        <f>'Ratio Analysis'!B9</f>
        <v>Sales Growth</v>
      </c>
      <c r="F11" s="4">
        <f>'Ratio Analysis'!I9</f>
        <v>5.5120803769784787E-2</v>
      </c>
      <c r="G11" s="4">
        <f>'Ratio Analysis'!J9</f>
        <v>0.33259384733074704</v>
      </c>
      <c r="H11" s="4">
        <f>'Ratio Analysis'!K9</f>
        <v>7.7937876041846099E-2</v>
      </c>
      <c r="I11" s="4">
        <f>'Ratio Analysis'!L9</f>
        <v>-2.800460530319937E-2</v>
      </c>
      <c r="K11" s="229"/>
    </row>
    <row r="12" spans="2:15" x14ac:dyDescent="0.35">
      <c r="B12" t="str">
        <f>'Ratio Analysis'!B16</f>
        <v>EBITDA Margin</v>
      </c>
      <c r="F12" s="4">
        <f>'Ratio Analysis'!I16</f>
        <v>0.2817478097736007</v>
      </c>
      <c r="G12" s="4">
        <f>'Ratio Analysis'!J16</f>
        <v>0.32866979938056462</v>
      </c>
      <c r="H12" s="4">
        <f>'Ratio Analysis'!K16</f>
        <v>0.3310467428130896</v>
      </c>
      <c r="I12" s="4">
        <f>'Ratio Analysis'!L16</f>
        <v>0.32826747720364741</v>
      </c>
    </row>
    <row r="13" spans="2:15" x14ac:dyDescent="0.35">
      <c r="B13" t="str">
        <f>'Ratio Analysis'!B17</f>
        <v>EBIT Margin</v>
      </c>
      <c r="F13" s="4">
        <f>'Ratio Analysis'!I17</f>
        <v>0.24147314354406862</v>
      </c>
      <c r="G13" s="4">
        <f>'Ratio Analysis'!J17</f>
        <v>0.29782377527561593</v>
      </c>
      <c r="H13" s="4">
        <f>'Ratio Analysis'!K17</f>
        <v>0.30288744395528594</v>
      </c>
      <c r="I13" s="4">
        <f>'Ratio Analysis'!L17</f>
        <v>0.29821412265024722</v>
      </c>
    </row>
    <row r="14" spans="2:15" x14ac:dyDescent="0.35">
      <c r="B14" t="s">
        <v>569</v>
      </c>
      <c r="F14" s="4">
        <f>'Historical &amp; Forecasted FS'!I15</f>
        <v>0.38233247727810865</v>
      </c>
      <c r="G14" s="4">
        <f>'Historical &amp; Forecasted FS'!J15</f>
        <v>0.41779359625167778</v>
      </c>
      <c r="H14" s="4">
        <f>'Historical &amp; Forecasted FS'!K15</f>
        <v>0.43309630561360085</v>
      </c>
      <c r="I14" s="4">
        <f>'Historical &amp; Forecasted FS'!L15</f>
        <v>0.44131129577207562</v>
      </c>
    </row>
    <row r="15" spans="2:15" x14ac:dyDescent="0.35">
      <c r="B15" t="str">
        <f>'Ratio Analysis'!B19</f>
        <v>Net Profit Margin</v>
      </c>
      <c r="F15" s="4">
        <f>'Ratio Analysis'!I19</f>
        <v>0.20913611278072236</v>
      </c>
      <c r="G15" s="4">
        <f>'Ratio Analysis'!J19</f>
        <v>0.25881793355694238</v>
      </c>
      <c r="H15" s="4">
        <f>'Ratio Analysis'!K19</f>
        <v>0.25309640705199732</v>
      </c>
      <c r="I15" s="4">
        <f>'Ratio Analysis'!L19</f>
        <v>0.25306234264320282</v>
      </c>
    </row>
    <row r="16" spans="2:15" x14ac:dyDescent="0.35">
      <c r="B16" t="s">
        <v>567</v>
      </c>
      <c r="F16" s="49">
        <f>'Historical &amp; Forecasted FS'!I52</f>
        <v>3.3817400879072177</v>
      </c>
      <c r="G16" s="49">
        <f>'Historical &amp; Forecasted FS'!J52</f>
        <v>5.7637568298509523</v>
      </c>
      <c r="H16" s="49">
        <f>'Historical &amp; Forecasted FS'!K52</f>
        <v>6.259821838783072</v>
      </c>
      <c r="I16" s="49">
        <f>'Historical &amp; Forecasted FS'!L52</f>
        <v>6.2375961097515953</v>
      </c>
      <c r="O16" s="12"/>
    </row>
    <row r="17" spans="2:15" x14ac:dyDescent="0.35">
      <c r="B17" t="s">
        <v>568</v>
      </c>
      <c r="F17" s="49">
        <f>'Historical &amp; Forecasted FS'!I55</f>
        <v>0.8</v>
      </c>
      <c r="G17" s="49">
        <f>'Historical &amp; Forecasted FS'!J55</f>
        <v>0.85</v>
      </c>
      <c r="H17" s="49">
        <f>'Historical &amp; Forecasted FS'!K55</f>
        <v>0.9</v>
      </c>
      <c r="I17" s="49">
        <f>'Historical &amp; Forecasted FS'!L55</f>
        <v>0.94</v>
      </c>
      <c r="O17" s="12"/>
    </row>
    <row r="18" spans="2:15" x14ac:dyDescent="0.35">
      <c r="B18" t="str">
        <f>'Ratio Analysis'!B28</f>
        <v>Self Sustained Growth Rate</v>
      </c>
      <c r="F18" s="4">
        <f>'Ratio Analysis'!I28</f>
        <v>0.56254165966103442</v>
      </c>
      <c r="G18" s="4">
        <f>'Ratio Analysis'!J28</f>
        <v>1.2569938549704507</v>
      </c>
      <c r="H18" s="4">
        <f>'Ratio Analysis'!K28</f>
        <v>1.5023279741917335</v>
      </c>
      <c r="I18" s="4">
        <f>'Ratio Analysis'!L28</f>
        <v>1.4603687826410681</v>
      </c>
    </row>
    <row r="20" spans="2:15" x14ac:dyDescent="0.35">
      <c r="B20" s="207" t="s">
        <v>564</v>
      </c>
      <c r="C20" s="207"/>
      <c r="D20" s="207"/>
      <c r="E20" s="207"/>
      <c r="F20" s="194">
        <f>'Ratio Analysis'!I7</f>
        <v>2020</v>
      </c>
      <c r="G20" s="194">
        <f>'Ratio Analysis'!J7</f>
        <v>2021</v>
      </c>
      <c r="H20" s="194">
        <f>'Ratio Analysis'!K7</f>
        <v>2022</v>
      </c>
      <c r="I20" s="194">
        <f>'Ratio Analysis'!L7</f>
        <v>2023</v>
      </c>
      <c r="K20" s="230" t="s">
        <v>391</v>
      </c>
      <c r="L20" s="230"/>
      <c r="M20" s="230"/>
      <c r="N20" s="230"/>
      <c r="O20" s="230"/>
    </row>
    <row r="21" spans="2:15" ht="14.5" customHeight="1" x14ac:dyDescent="0.35">
      <c r="B21" t="str">
        <f>'Ratio Analysis'!B27</f>
        <v>Return on Equity%</v>
      </c>
      <c r="F21" s="4">
        <f>'Ratio Analysis'!I27</f>
        <v>0.73685561552234213</v>
      </c>
      <c r="G21" s="4">
        <f>'Ratio Analysis'!J27</f>
        <v>1.4744333444938449</v>
      </c>
      <c r="H21" s="4">
        <f>'Ratio Analysis'!K27</f>
        <v>1.7545929220653644</v>
      </c>
      <c r="I21" s="4">
        <f>'Ratio Analysis'!L27</f>
        <v>1.7194951160275842</v>
      </c>
      <c r="K21" s="232" t="s">
        <v>585</v>
      </c>
      <c r="L21" s="232"/>
      <c r="M21" s="232"/>
      <c r="N21" s="232"/>
      <c r="O21" s="232"/>
    </row>
    <row r="22" spans="2:15" ht="14.5" customHeight="1" x14ac:dyDescent="0.35">
      <c r="B22" t="str">
        <f>'Ratio Analysis'!B25</f>
        <v>Return on Capital Employed</v>
      </c>
      <c r="F22" s="4">
        <f>'Ratio Analysis'!I25</f>
        <v>0.30338312829525482</v>
      </c>
      <c r="G22" s="4">
        <f>'Ratio Analysis'!J25</f>
        <v>0.48309913489209433</v>
      </c>
      <c r="H22" s="4">
        <f>'Ratio Analysis'!K25</f>
        <v>0.60087134570590572</v>
      </c>
      <c r="I22" s="4">
        <f>'Ratio Analysis'!L25</f>
        <v>0.55144614642383305</v>
      </c>
      <c r="K22" s="232"/>
      <c r="L22" s="232"/>
      <c r="M22" s="232"/>
      <c r="N22" s="232"/>
      <c r="O22" s="232"/>
    </row>
    <row r="23" spans="2:15" ht="14.5" customHeight="1" x14ac:dyDescent="0.35">
      <c r="B23" t="str">
        <f>'Ratio Analysis'!B28</f>
        <v>Self Sustained Growth Rate</v>
      </c>
      <c r="F23" s="4">
        <f>'Ratio Analysis'!I28</f>
        <v>0.56254165966103442</v>
      </c>
      <c r="G23" s="4">
        <f>'Ratio Analysis'!J28</f>
        <v>1.2569938549704507</v>
      </c>
      <c r="H23" s="4">
        <f>'Ratio Analysis'!K28</f>
        <v>1.5023279741917335</v>
      </c>
      <c r="I23" s="4">
        <f>'Ratio Analysis'!L28</f>
        <v>1.4603687826410681</v>
      </c>
      <c r="K23" s="232"/>
      <c r="L23" s="232"/>
      <c r="M23" s="232"/>
      <c r="N23" s="232"/>
      <c r="O23" s="232"/>
    </row>
    <row r="24" spans="2:15" ht="14.5" customHeight="1" x14ac:dyDescent="0.35">
      <c r="B24" t="s">
        <v>319</v>
      </c>
      <c r="F24" s="4">
        <f>'Ratio Analysis'!I30</f>
        <v>1.871439722064923</v>
      </c>
      <c r="G24" s="4">
        <f>'Ratio Analysis'!J30</f>
        <v>2.1639245522269772</v>
      </c>
      <c r="H24" s="4">
        <f>'Ratio Analysis'!K30</f>
        <v>2.6144616356173036</v>
      </c>
      <c r="I24" s="4">
        <f>'Ratio Analysis'!L30</f>
        <v>1.9941750072410132</v>
      </c>
      <c r="L24" s="234" t="s">
        <v>586</v>
      </c>
      <c r="M24" s="233">
        <f>DCF!E40</f>
        <v>124.93382336081336</v>
      </c>
      <c r="N24" s="233"/>
      <c r="O24" s="226"/>
    </row>
    <row r="25" spans="2:15" ht="14.5" customHeight="1" x14ac:dyDescent="0.35">
      <c r="B25" t="str">
        <f>'Ratio Analysis'!B47</f>
        <v>CFO/Total Assets</v>
      </c>
      <c r="F25" s="4">
        <f>'Ratio Analysis'!I47</f>
        <v>0.24907992886429878</v>
      </c>
      <c r="G25" s="4">
        <f>'Ratio Analysis'!J47</f>
        <v>0.2964028694993191</v>
      </c>
      <c r="H25" s="4">
        <f>'Ratio Analysis'!K47</f>
        <v>0.34627716120253432</v>
      </c>
      <c r="I25" s="4">
        <f>'Ratio Analysis'!L47</f>
        <v>0.31352334060348913</v>
      </c>
      <c r="K25" s="226"/>
      <c r="L25" s="234"/>
      <c r="M25" s="233"/>
      <c r="N25" s="233"/>
      <c r="O25" s="226"/>
    </row>
    <row r="26" spans="2:15" ht="14.5" customHeight="1" x14ac:dyDescent="0.35">
      <c r="B26" t="str">
        <f>'Ratio Analysis'!B35</f>
        <v>Inventory Turnover</v>
      </c>
      <c r="F26" s="49">
        <f>'Ratio Analysis'!I42</f>
        <v>8.7903178244740765</v>
      </c>
      <c r="G26" s="49">
        <f>'Ratio Analysis'!J42</f>
        <v>9.1181020842234748</v>
      </c>
      <c r="H26" s="49">
        <f>'Ratio Analysis'!K42</f>
        <v>9.4096740715557416</v>
      </c>
      <c r="I26" s="49">
        <f>'Ratio Analysis'!L42</f>
        <v>9.6109149749926441</v>
      </c>
      <c r="K26" s="226"/>
      <c r="L26" s="226"/>
      <c r="M26" s="226"/>
      <c r="N26" s="226"/>
      <c r="O26" s="226"/>
    </row>
    <row r="28" spans="2:15" x14ac:dyDescent="0.35">
      <c r="B28" s="231" t="s">
        <v>584</v>
      </c>
      <c r="C28" s="231"/>
      <c r="D28" s="231"/>
      <c r="E28" s="231"/>
      <c r="F28" s="231"/>
      <c r="G28" s="231"/>
      <c r="H28" s="231"/>
      <c r="I28" s="231"/>
      <c r="K28" s="230" t="s">
        <v>574</v>
      </c>
      <c r="L28" s="230"/>
      <c r="M28" s="230"/>
      <c r="N28" s="230"/>
      <c r="O28" s="230"/>
    </row>
    <row r="36" spans="2:23" x14ac:dyDescent="0.35">
      <c r="B36" s="231" t="s">
        <v>583</v>
      </c>
      <c r="C36" s="231"/>
      <c r="D36" s="231"/>
      <c r="E36" s="231"/>
      <c r="F36" s="231"/>
      <c r="G36" s="231"/>
      <c r="H36" s="231"/>
      <c r="I36" s="231"/>
      <c r="K36" s="230" t="s">
        <v>582</v>
      </c>
      <c r="L36" s="230"/>
      <c r="M36" s="230"/>
      <c r="N36" s="230"/>
      <c r="O36" s="230"/>
      <c r="P36" s="227"/>
      <c r="Q36" s="227"/>
      <c r="R36" s="227"/>
      <c r="S36" s="227"/>
      <c r="T36" s="227"/>
      <c r="U36" s="227"/>
      <c r="V36" s="227"/>
      <c r="W36" s="227"/>
    </row>
    <row r="37" spans="2:23" x14ac:dyDescent="0.35">
      <c r="P37" s="227"/>
      <c r="Q37" s="162"/>
      <c r="R37" s="162"/>
      <c r="S37" s="162"/>
      <c r="T37" s="162"/>
      <c r="U37" s="162"/>
      <c r="V37" s="162"/>
      <c r="W37" s="227"/>
    </row>
    <row r="38" spans="2:23" x14ac:dyDescent="0.35">
      <c r="P38" s="227"/>
      <c r="Q38" s="162"/>
      <c r="R38" s="162">
        <v>2019</v>
      </c>
      <c r="S38" s="162">
        <v>2020</v>
      </c>
      <c r="T38" s="162">
        <v>2021</v>
      </c>
      <c r="U38" s="162">
        <v>2022</v>
      </c>
      <c r="V38" s="162">
        <v>2023</v>
      </c>
      <c r="W38" s="162" t="s">
        <v>581</v>
      </c>
    </row>
    <row r="39" spans="2:23" x14ac:dyDescent="0.35">
      <c r="P39" s="227"/>
      <c r="Q39" s="162" t="s">
        <v>577</v>
      </c>
      <c r="R39" s="228">
        <v>142381</v>
      </c>
      <c r="S39" s="228">
        <v>137781</v>
      </c>
      <c r="T39" s="228">
        <v>191973</v>
      </c>
      <c r="U39" s="228">
        <v>205489</v>
      </c>
      <c r="V39" s="228">
        <v>200583</v>
      </c>
      <c r="W39" s="228">
        <f>AVERAGE(R39:V39)</f>
        <v>175641.4</v>
      </c>
    </row>
    <row r="40" spans="2:23" x14ac:dyDescent="0.35">
      <c r="P40" s="227"/>
      <c r="Q40" s="162" t="s">
        <v>578</v>
      </c>
      <c r="R40" s="228">
        <v>25740</v>
      </c>
      <c r="S40" s="228">
        <v>28622</v>
      </c>
      <c r="T40" s="228">
        <v>35190</v>
      </c>
      <c r="U40" s="228">
        <v>40177</v>
      </c>
      <c r="V40" s="228">
        <v>29357</v>
      </c>
      <c r="W40" s="228">
        <f t="shared" ref="W40:W43" si="0">AVERAGE(R40:V40)</f>
        <v>31817.200000000001</v>
      </c>
    </row>
    <row r="41" spans="2:23" x14ac:dyDescent="0.35">
      <c r="P41" s="227"/>
      <c r="Q41" s="162" t="s">
        <v>579</v>
      </c>
      <c r="R41" s="228">
        <v>21280</v>
      </c>
      <c r="S41" s="228">
        <v>23724</v>
      </c>
      <c r="T41" s="228">
        <v>31862</v>
      </c>
      <c r="U41" s="228">
        <v>29292</v>
      </c>
      <c r="V41" s="228">
        <v>28300</v>
      </c>
      <c r="W41" s="228">
        <f t="shared" si="0"/>
        <v>26891.599999999999</v>
      </c>
    </row>
    <row r="42" spans="2:23" x14ac:dyDescent="0.35">
      <c r="P42" s="227"/>
      <c r="Q42" s="162" t="s">
        <v>575</v>
      </c>
      <c r="R42" s="228">
        <v>24482</v>
      </c>
      <c r="S42" s="228">
        <v>30620</v>
      </c>
      <c r="T42" s="228">
        <v>38367</v>
      </c>
      <c r="U42" s="228">
        <v>41241</v>
      </c>
      <c r="V42" s="228">
        <v>39845</v>
      </c>
      <c r="W42" s="228">
        <f t="shared" si="0"/>
        <v>34911</v>
      </c>
    </row>
    <row r="43" spans="2:23" x14ac:dyDescent="0.35">
      <c r="P43" s="227"/>
      <c r="Q43" s="162" t="s">
        <v>580</v>
      </c>
      <c r="R43" s="228">
        <v>46291</v>
      </c>
      <c r="S43" s="228">
        <v>53768</v>
      </c>
      <c r="T43" s="228">
        <v>68425</v>
      </c>
      <c r="U43" s="228">
        <v>78129</v>
      </c>
      <c r="V43" s="228">
        <v>85200</v>
      </c>
      <c r="W43" s="228">
        <f t="shared" si="0"/>
        <v>66362.600000000006</v>
      </c>
    </row>
    <row r="44" spans="2:23" x14ac:dyDescent="0.35">
      <c r="P44" s="227"/>
      <c r="Q44" s="162" t="s">
        <v>576</v>
      </c>
      <c r="R44" s="228">
        <v>260174</v>
      </c>
      <c r="S44" s="228">
        <v>274515</v>
      </c>
      <c r="T44" s="228">
        <v>365817</v>
      </c>
      <c r="U44" s="228">
        <v>394328</v>
      </c>
      <c r="V44" s="228">
        <v>383285</v>
      </c>
      <c r="W44" s="228">
        <f>AVERAGE(R44:V44)</f>
        <v>335623.8</v>
      </c>
    </row>
    <row r="45" spans="2:23" x14ac:dyDescent="0.35">
      <c r="P45" s="227"/>
      <c r="Q45" s="162"/>
      <c r="R45" s="162"/>
      <c r="S45" s="162"/>
      <c r="T45" s="162"/>
      <c r="U45" s="162"/>
      <c r="V45" s="162"/>
      <c r="W45" s="162"/>
    </row>
    <row r="46" spans="2:23" x14ac:dyDescent="0.35">
      <c r="P46" s="227"/>
      <c r="Q46" s="227"/>
      <c r="R46" s="227"/>
      <c r="S46" s="227"/>
      <c r="T46" s="227"/>
      <c r="U46" s="227"/>
      <c r="V46" s="227"/>
      <c r="W46" s="227"/>
    </row>
    <row r="47" spans="2:23" x14ac:dyDescent="0.35">
      <c r="P47" s="227"/>
      <c r="Q47" s="227"/>
      <c r="R47" s="227"/>
      <c r="S47" s="227"/>
      <c r="T47" s="227"/>
      <c r="U47" s="227"/>
      <c r="V47" s="227"/>
      <c r="W47" s="227"/>
    </row>
    <row r="48" spans="2:23" x14ac:dyDescent="0.35">
      <c r="K48" s="230" t="s">
        <v>573</v>
      </c>
      <c r="L48" s="230"/>
      <c r="M48" s="230"/>
      <c r="N48" s="230"/>
      <c r="O48" s="230"/>
      <c r="P48" s="227"/>
      <c r="Q48" s="227"/>
      <c r="R48" s="227"/>
      <c r="S48" s="227"/>
      <c r="T48" s="227"/>
      <c r="U48" s="227"/>
      <c r="V48" s="227"/>
      <c r="W48" s="227"/>
    </row>
    <row r="49" spans="16:23" x14ac:dyDescent="0.35">
      <c r="P49" s="162"/>
      <c r="Q49" s="162"/>
      <c r="R49" s="162"/>
      <c r="S49" s="162"/>
      <c r="T49" s="162"/>
      <c r="U49" s="162"/>
      <c r="V49" s="162"/>
      <c r="W49" s="162"/>
    </row>
    <row r="50" spans="16:23" x14ac:dyDescent="0.35">
      <c r="P50" s="162"/>
      <c r="Q50" s="162" t="s">
        <v>570</v>
      </c>
      <c r="R50" s="220">
        <v>0.5756</v>
      </c>
      <c r="S50" s="220"/>
      <c r="T50" s="162"/>
      <c r="U50" s="162"/>
      <c r="V50" s="162"/>
      <c r="W50" s="162"/>
    </row>
    <row r="51" spans="16:23" x14ac:dyDescent="0.35">
      <c r="P51" s="162"/>
      <c r="Q51" s="162" t="s">
        <v>571</v>
      </c>
      <c r="R51" s="220">
        <v>5.2200000000000003E-2</v>
      </c>
      <c r="S51" s="162"/>
      <c r="T51" s="162"/>
      <c r="U51" s="162"/>
      <c r="V51" s="162"/>
      <c r="W51" s="162"/>
    </row>
    <row r="52" spans="16:23" x14ac:dyDescent="0.35">
      <c r="P52" s="162"/>
      <c r="Q52" s="162" t="s">
        <v>572</v>
      </c>
      <c r="R52" s="220">
        <f>100%-R50-R51</f>
        <v>0.37219999999999998</v>
      </c>
      <c r="S52" s="162"/>
      <c r="T52" s="162"/>
      <c r="U52" s="162"/>
      <c r="V52" s="162"/>
      <c r="W52" s="162"/>
    </row>
  </sheetData>
  <sheetProtection password="CC0B" sheet="1" objects="1" scenarios="1" selectLockedCells="0" selectUnlockedCells="1"/>
  <mergeCells count="12">
    <mergeCell ref="B2:O2"/>
    <mergeCell ref="K10:O10"/>
    <mergeCell ref="K36:O36"/>
    <mergeCell ref="K28:O28"/>
    <mergeCell ref="B10:E10"/>
    <mergeCell ref="M24:N25"/>
    <mergeCell ref="L24:L25"/>
    <mergeCell ref="K48:O48"/>
    <mergeCell ref="B28:I28"/>
    <mergeCell ref="B36:I36"/>
    <mergeCell ref="K20:O20"/>
    <mergeCell ref="K21:O23"/>
  </mergeCells>
  <pageMargins left="0.25" right="0.25" top="0.75" bottom="0.75" header="0.3" footer="0.3"/>
  <pageSetup paperSize="9" scale="78" orientation="portrait" horizontalDpi="4294967293" verticalDpi="0" r:id="rId1"/>
  <rowBreaks count="1" manualBreakCount="1">
    <brk id="49" max="16383" man="1"/>
  </rowBreaks>
  <colBreaks count="1" manualBreakCount="1">
    <brk id="20" max="1048575"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9D78F-72BB-4CB4-9CDB-D141978D4464}">
  <sheetPr>
    <tabColor rgb="FF002060"/>
  </sheetPr>
  <dimension ref="A1"/>
  <sheetViews>
    <sheetView showGridLines="0" workbookViewId="0">
      <selection activeCell="R16" sqref="R16"/>
    </sheetView>
  </sheetViews>
  <sheetFormatPr defaultRowHeight="14.5" x14ac:dyDescent="0.35"/>
  <cols>
    <col min="1" max="1" width="1.81640625" customWidth="1"/>
  </cols>
  <sheetData/>
  <sheetProtection password="CC0B" sheet="1" objects="1" scenarios="1" selectLockedCells="0" selectUnlockedCells="1"/>
  <pageMargins left="0.7" right="0.7" top="0.75" bottom="0.75" header="0.3" footer="0.3"/>
  <pageSetup paperSize="9" orientation="portrait" horizontalDpi="4294967293"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35AFC5-390B-46DA-869A-D06DE1240E96}">
  <sheetPr>
    <pageSetUpPr fitToPage="1"/>
  </sheetPr>
  <dimension ref="A1:T152"/>
  <sheetViews>
    <sheetView showGridLines="0" topLeftCell="A37" zoomScale="90" zoomScaleNormal="90" workbookViewId="0">
      <selection activeCell="D52" sqref="D52"/>
    </sheetView>
  </sheetViews>
  <sheetFormatPr defaultRowHeight="14.5" x14ac:dyDescent="0.35"/>
  <cols>
    <col min="1" max="1" width="1.81640625" customWidth="1"/>
    <col min="2" max="2" width="33.90625" bestFit="1" customWidth="1"/>
    <col min="3" max="7" width="11.1796875" bestFit="1" customWidth="1"/>
    <col min="8" max="17" width="11.1796875" customWidth="1"/>
    <col min="18" max="18" width="10.90625" bestFit="1" customWidth="1"/>
  </cols>
  <sheetData>
    <row r="1" spans="1:18" x14ac:dyDescent="0.35">
      <c r="B1" s="90"/>
      <c r="I1" s="164"/>
    </row>
    <row r="2" spans="1:18" ht="28.5" x14ac:dyDescent="0.65">
      <c r="B2" s="193"/>
      <c r="I2" s="164"/>
    </row>
    <row r="3" spans="1:18" x14ac:dyDescent="0.35">
      <c r="B3" s="90"/>
      <c r="I3" s="164"/>
    </row>
    <row r="4" spans="1:18" x14ac:dyDescent="0.35">
      <c r="B4" s="90" t="s">
        <v>544</v>
      </c>
      <c r="I4" s="164"/>
    </row>
    <row r="5" spans="1:18" x14ac:dyDescent="0.35">
      <c r="B5" s="230" t="str">
        <f>"Historical Financial Statement -"&amp;'Data Sheet'!$A$4</f>
        <v>Historical Financial Statement -Apple Inc.</v>
      </c>
      <c r="C5" s="230"/>
      <c r="D5" s="230"/>
      <c r="E5" s="230"/>
      <c r="F5" s="230"/>
      <c r="G5" s="230"/>
      <c r="H5" s="230"/>
      <c r="I5" s="230"/>
      <c r="J5" s="230"/>
      <c r="K5" s="230"/>
      <c r="L5" s="230"/>
      <c r="M5" s="230"/>
      <c r="N5" s="230" t="str">
        <f>"Forecasted Financial Statement " &amp; "-" &amp;'Data Sheet'!$A$4</f>
        <v>Forecasted Financial Statement -Apple Inc.</v>
      </c>
      <c r="O5" s="230"/>
      <c r="P5" s="230"/>
      <c r="Q5" s="230"/>
      <c r="R5" s="230"/>
    </row>
    <row r="6" spans="1:18" x14ac:dyDescent="0.35">
      <c r="B6" s="195" t="s">
        <v>205</v>
      </c>
      <c r="C6" s="196">
        <v>2014</v>
      </c>
      <c r="D6" s="196">
        <f>C6+1</f>
        <v>2015</v>
      </c>
      <c r="E6" s="196">
        <f t="shared" ref="E6:G6" si="0">D6+1</f>
        <v>2016</v>
      </c>
      <c r="F6" s="196">
        <f t="shared" si="0"/>
        <v>2017</v>
      </c>
      <c r="G6" s="196">
        <f t="shared" si="0"/>
        <v>2018</v>
      </c>
      <c r="H6" s="196">
        <v>2019</v>
      </c>
      <c r="I6" s="196">
        <f>H6+1</f>
        <v>2020</v>
      </c>
      <c r="J6" s="196">
        <f>I6+1</f>
        <v>2021</v>
      </c>
      <c r="K6" s="196">
        <f t="shared" ref="K6:L6" si="1">J6+1</f>
        <v>2022</v>
      </c>
      <c r="L6" s="196">
        <f t="shared" si="1"/>
        <v>2023</v>
      </c>
      <c r="M6" s="197" t="s">
        <v>103</v>
      </c>
      <c r="N6" s="198">
        <f>L6+1</f>
        <v>2024</v>
      </c>
      <c r="O6" s="198">
        <f t="shared" ref="O6" si="2">N6+1</f>
        <v>2025</v>
      </c>
      <c r="P6" s="198">
        <f t="shared" ref="P6" si="3">O6+1</f>
        <v>2026</v>
      </c>
      <c r="Q6" s="198">
        <f t="shared" ref="Q6" si="4">P6+1</f>
        <v>2027</v>
      </c>
      <c r="R6" s="198">
        <f t="shared" ref="R6" si="5">Q6+1</f>
        <v>2028</v>
      </c>
    </row>
    <row r="7" spans="1:18" x14ac:dyDescent="0.35">
      <c r="A7" t="s">
        <v>8</v>
      </c>
      <c r="B7" s="199" t="s">
        <v>207</v>
      </c>
      <c r="C7" s="200">
        <v>1</v>
      </c>
      <c r="D7" s="200">
        <v>2</v>
      </c>
      <c r="E7" s="200">
        <v>3</v>
      </c>
      <c r="F7" s="200">
        <v>4</v>
      </c>
      <c r="G7" s="200">
        <v>5</v>
      </c>
      <c r="H7" s="200">
        <v>6</v>
      </c>
      <c r="I7" s="201">
        <v>7</v>
      </c>
      <c r="J7" s="201">
        <v>8</v>
      </c>
      <c r="K7" s="201">
        <v>9</v>
      </c>
      <c r="L7" s="201">
        <v>10</v>
      </c>
      <c r="M7" s="201"/>
      <c r="N7" s="201">
        <v>11</v>
      </c>
      <c r="O7" s="201">
        <v>12</v>
      </c>
      <c r="P7" s="201">
        <v>13</v>
      </c>
      <c r="Q7" s="201">
        <v>14</v>
      </c>
      <c r="R7" s="201">
        <v>15</v>
      </c>
    </row>
    <row r="8" spans="1:18" x14ac:dyDescent="0.35">
      <c r="B8" t="s">
        <v>9</v>
      </c>
      <c r="C8" s="44">
        <f>IFERROR('Data Sheet'!B20,0)</f>
        <v>182795</v>
      </c>
      <c r="D8" s="44">
        <f>IFERROR('Data Sheet'!C20,0)</f>
        <v>233715</v>
      </c>
      <c r="E8" s="44">
        <f>IFERROR('Data Sheet'!D20,0)</f>
        <v>215639</v>
      </c>
      <c r="F8" s="44">
        <f>IFERROR('Data Sheet'!E20,0)</f>
        <v>229234</v>
      </c>
      <c r="G8" s="44">
        <f>IFERROR('Data Sheet'!F20,0)</f>
        <v>265595</v>
      </c>
      <c r="H8" s="44">
        <f>IFERROR('Data Sheet'!G20,0)</f>
        <v>260174</v>
      </c>
      <c r="I8" s="44">
        <f>IFERROR('Data Sheet'!H20,0)</f>
        <v>274515</v>
      </c>
      <c r="J8" s="44">
        <f>IFERROR('Data Sheet'!I20,0)</f>
        <v>365817</v>
      </c>
      <c r="K8" s="44">
        <f>IFERROR('Data Sheet'!J20,0)</f>
        <v>394328</v>
      </c>
      <c r="L8" s="44">
        <f>IFERROR('Data Sheet'!K20,0)</f>
        <v>383285</v>
      </c>
      <c r="M8" s="44">
        <f>'Data Sheet'!L20</f>
        <v>385706</v>
      </c>
      <c r="N8" s="44">
        <f>L8*(1+N9)</f>
        <v>410114.95</v>
      </c>
      <c r="O8" s="44">
        <f>N8*(1+O9)</f>
        <v>451126.44500000007</v>
      </c>
      <c r="P8" s="44">
        <f t="shared" ref="P8:R8" si="6">O8*(1+P9)</f>
        <v>500750.35395000014</v>
      </c>
      <c r="Q8" s="44">
        <f t="shared" si="6"/>
        <v>558336.64465425012</v>
      </c>
      <c r="R8" s="44">
        <f t="shared" si="6"/>
        <v>625337.04201276018</v>
      </c>
    </row>
    <row r="9" spans="1:18" x14ac:dyDescent="0.35">
      <c r="B9" s="45" t="s">
        <v>208</v>
      </c>
      <c r="C9" s="45" t="s">
        <v>43</v>
      </c>
      <c r="D9" s="46">
        <f t="shared" ref="D9:H9" si="7">D8/C8-1</f>
        <v>0.27856341803659834</v>
      </c>
      <c r="E9" s="46">
        <f t="shared" si="7"/>
        <v>-7.7342061913013738E-2</v>
      </c>
      <c r="F9" s="46">
        <f t="shared" si="7"/>
        <v>6.304518199398057E-2</v>
      </c>
      <c r="G9" s="46">
        <f t="shared" si="7"/>
        <v>0.15861957650261305</v>
      </c>
      <c r="H9" s="46">
        <f t="shared" si="7"/>
        <v>-2.04107758052674E-2</v>
      </c>
      <c r="I9" s="46">
        <f>I8/H8-1</f>
        <v>5.5120803769784787E-2</v>
      </c>
      <c r="J9" s="46">
        <f>J8/I8-1</f>
        <v>0.33259384733074704</v>
      </c>
      <c r="K9" s="46">
        <f t="shared" ref="K9" si="8">K8/J8-1</f>
        <v>7.7937876041846099E-2</v>
      </c>
      <c r="L9" s="46">
        <f>L8/K8-1</f>
        <v>-2.800460530319937E-2</v>
      </c>
      <c r="M9" s="46">
        <f>M8/L8-1</f>
        <v>6.3164485956925809E-3</v>
      </c>
      <c r="N9" s="46">
        <v>7.0000000000000007E-2</v>
      </c>
      <c r="O9" s="46">
        <v>0.1</v>
      </c>
      <c r="P9" s="46">
        <v>0.11</v>
      </c>
      <c r="Q9" s="46">
        <v>0.115</v>
      </c>
      <c r="R9" s="46">
        <v>0.12</v>
      </c>
    </row>
    <row r="11" spans="1:18" x14ac:dyDescent="0.35">
      <c r="B11" t="s">
        <v>1</v>
      </c>
      <c r="C11" s="44">
        <f>IFERROR('Data Sheet'!B22,0)</f>
        <v>112258</v>
      </c>
      <c r="D11" s="44">
        <f>IFERROR('Data Sheet'!C22,0)</f>
        <v>140089</v>
      </c>
      <c r="E11" s="44">
        <f>IFERROR('Data Sheet'!D22,0)</f>
        <v>131376</v>
      </c>
      <c r="F11" s="44">
        <f>IFERROR('Data Sheet'!E22,0)</f>
        <v>141048</v>
      </c>
      <c r="G11" s="44">
        <f>IFERROR('Data Sheet'!F22,0)</f>
        <v>163756</v>
      </c>
      <c r="H11" s="44">
        <f>IFERROR('Data Sheet'!G22,0)</f>
        <v>161782</v>
      </c>
      <c r="I11" s="44">
        <f>IFERROR('Data Sheet'!H22,0)</f>
        <v>169559</v>
      </c>
      <c r="J11" s="44">
        <f>IFERROR('Data Sheet'!I22,0)</f>
        <v>212981</v>
      </c>
      <c r="K11" s="44">
        <f>IFERROR('Data Sheet'!J22,0)</f>
        <v>223546</v>
      </c>
      <c r="L11" s="44">
        <f>IFERROR('Data Sheet'!K22,0)</f>
        <v>214137</v>
      </c>
      <c r="M11" s="44">
        <f>'Data Sheet'!L22</f>
        <v>212035</v>
      </c>
      <c r="N11" s="44">
        <f>N8*N12</f>
        <v>227203.68230000001</v>
      </c>
      <c r="O11" s="44">
        <f>O8*O12</f>
        <v>249924.05053000007</v>
      </c>
      <c r="P11" s="44">
        <f t="shared" ref="P11:R11" si="9">P8*P12</f>
        <v>277415.69608830009</v>
      </c>
      <c r="Q11" s="44">
        <f t="shared" si="9"/>
        <v>309318.50113845459</v>
      </c>
      <c r="R11" s="44">
        <f t="shared" si="9"/>
        <v>346436.72127506917</v>
      </c>
    </row>
    <row r="12" spans="1:18" x14ac:dyDescent="0.35">
      <c r="B12" s="45" t="s">
        <v>218</v>
      </c>
      <c r="C12" s="46">
        <f t="shared" ref="C12:G12" si="10">C11/C8</f>
        <v>0.61411964222216142</v>
      </c>
      <c r="D12" s="46">
        <f t="shared" si="10"/>
        <v>0.59940097982585627</v>
      </c>
      <c r="E12" s="46">
        <f t="shared" si="10"/>
        <v>0.60924044351902951</v>
      </c>
      <c r="F12" s="46">
        <f t="shared" si="10"/>
        <v>0.6153013950810089</v>
      </c>
      <c r="G12" s="46">
        <f t="shared" si="10"/>
        <v>0.6165628117999209</v>
      </c>
      <c r="H12" s="46">
        <f>H11/H8</f>
        <v>0.62182231890965278</v>
      </c>
      <c r="I12" s="46">
        <f>I11/I8</f>
        <v>0.61766752272189129</v>
      </c>
      <c r="J12" s="46">
        <f t="shared" ref="J12:L12" si="11">J11/J8</f>
        <v>0.58220640374832222</v>
      </c>
      <c r="K12" s="46">
        <f t="shared" si="11"/>
        <v>0.56690369438639909</v>
      </c>
      <c r="L12" s="46">
        <f t="shared" si="11"/>
        <v>0.55868870422792438</v>
      </c>
      <c r="M12" s="46">
        <f>M11/M8</f>
        <v>0.54973217943200259</v>
      </c>
      <c r="N12" s="46">
        <v>0.55400000000000005</v>
      </c>
      <c r="O12" s="46">
        <v>0.55400000000000005</v>
      </c>
      <c r="P12" s="46">
        <v>0.55400000000000005</v>
      </c>
      <c r="Q12" s="46">
        <v>0.55400000000000005</v>
      </c>
      <c r="R12" s="46">
        <v>0.55400000000000005</v>
      </c>
    </row>
    <row r="14" spans="1:18" x14ac:dyDescent="0.35">
      <c r="B14" s="52" t="s">
        <v>2</v>
      </c>
      <c r="C14" s="53">
        <f t="shared" ref="C14:G14" si="12">IFERROR(C8-C11,0)</f>
        <v>70537</v>
      </c>
      <c r="D14" s="53">
        <f t="shared" si="12"/>
        <v>93626</v>
      </c>
      <c r="E14" s="53">
        <f t="shared" si="12"/>
        <v>84263</v>
      </c>
      <c r="F14" s="53">
        <f t="shared" si="12"/>
        <v>88186</v>
      </c>
      <c r="G14" s="53">
        <f t="shared" si="12"/>
        <v>101839</v>
      </c>
      <c r="H14" s="53">
        <f>IFERROR(H8-H11,0)</f>
        <v>98392</v>
      </c>
      <c r="I14" s="53">
        <f>IFERROR(I8-I11,0)</f>
        <v>104956</v>
      </c>
      <c r="J14" s="53">
        <f t="shared" ref="J14:L14" si="13">IFERROR(J8-J11,0)</f>
        <v>152836</v>
      </c>
      <c r="K14" s="53">
        <f t="shared" si="13"/>
        <v>170782</v>
      </c>
      <c r="L14" s="53">
        <f t="shared" si="13"/>
        <v>169148</v>
      </c>
      <c r="M14" s="53">
        <f>IFERROR(M8-M11,0)</f>
        <v>173671</v>
      </c>
      <c r="N14" s="53">
        <f>IFERROR(N8-N11,0)</f>
        <v>182911.2677</v>
      </c>
      <c r="O14" s="53">
        <f>IFERROR(O8-O11,0)</f>
        <v>201202.39447</v>
      </c>
      <c r="P14" s="53">
        <f t="shared" ref="P14:R14" si="14">IFERROR(P8-P11,0)</f>
        <v>223334.65786170005</v>
      </c>
      <c r="Q14" s="53">
        <f t="shared" si="14"/>
        <v>249018.14351579553</v>
      </c>
      <c r="R14" s="53">
        <f t="shared" si="14"/>
        <v>278900.32073769101</v>
      </c>
    </row>
    <row r="15" spans="1:18" x14ac:dyDescent="0.35">
      <c r="B15" s="45" t="s">
        <v>219</v>
      </c>
      <c r="C15" s="46">
        <f t="shared" ref="C15:G15" si="15">C14/C8</f>
        <v>0.38588035777783858</v>
      </c>
      <c r="D15" s="46">
        <f t="shared" si="15"/>
        <v>0.40059902017414373</v>
      </c>
      <c r="E15" s="46">
        <f t="shared" si="15"/>
        <v>0.39075955648097049</v>
      </c>
      <c r="F15" s="46">
        <f t="shared" si="15"/>
        <v>0.38469860491899105</v>
      </c>
      <c r="G15" s="46">
        <f t="shared" si="15"/>
        <v>0.38343718820007905</v>
      </c>
      <c r="H15" s="46">
        <f>H14/H8</f>
        <v>0.37817768109034722</v>
      </c>
      <c r="I15" s="46">
        <f>I14/I8</f>
        <v>0.38233247727810865</v>
      </c>
      <c r="J15" s="46">
        <f t="shared" ref="J15:M15" si="16">J14/J8</f>
        <v>0.41779359625167778</v>
      </c>
      <c r="K15" s="46">
        <f t="shared" si="16"/>
        <v>0.43309630561360085</v>
      </c>
      <c r="L15" s="46">
        <f t="shared" si="16"/>
        <v>0.44131129577207562</v>
      </c>
      <c r="M15" s="46">
        <f t="shared" si="16"/>
        <v>0.45026782056799741</v>
      </c>
      <c r="N15" s="46">
        <f t="shared" ref="N15:R15" si="17">N14/N8</f>
        <v>0.44599999999999995</v>
      </c>
      <c r="O15" s="46">
        <f t="shared" si="17"/>
        <v>0.44599999999999995</v>
      </c>
      <c r="P15" s="46">
        <f t="shared" si="17"/>
        <v>0.44599999999999995</v>
      </c>
      <c r="Q15" s="46">
        <f t="shared" si="17"/>
        <v>0.44599999999999995</v>
      </c>
      <c r="R15" s="46">
        <f t="shared" si="17"/>
        <v>0.44599999999999995</v>
      </c>
    </row>
    <row r="17" spans="2:18" x14ac:dyDescent="0.35">
      <c r="B17" t="s">
        <v>209</v>
      </c>
      <c r="C17" s="44">
        <f>IFERROR('Data Sheet'!B25,0)</f>
        <v>11993</v>
      </c>
      <c r="D17" s="44">
        <f>IFERROR('Data Sheet'!C25,0)</f>
        <v>14329</v>
      </c>
      <c r="E17" s="44">
        <f>IFERROR('Data Sheet'!D25,0)</f>
        <v>14194</v>
      </c>
      <c r="F17" s="44">
        <f>IFERROR('Data Sheet'!E25,0)</f>
        <v>15261</v>
      </c>
      <c r="G17" s="44">
        <f>IFERROR('Data Sheet'!F25,0)</f>
        <v>16705</v>
      </c>
      <c r="H17" s="44">
        <f>IFERROR('Data Sheet'!G25,0)</f>
        <v>18245</v>
      </c>
      <c r="I17" s="44">
        <f>IFERROR('Data Sheet'!H25,0)</f>
        <v>19916</v>
      </c>
      <c r="J17" s="44">
        <f>IFERROR('Data Sheet'!I25,0)</f>
        <v>21973</v>
      </c>
      <c r="K17" s="44">
        <f>IFERROR('Data Sheet'!J25,0)</f>
        <v>25094</v>
      </c>
      <c r="L17" s="44">
        <f>IFERROR('Data Sheet'!K25,0)</f>
        <v>24932</v>
      </c>
      <c r="M17" s="44">
        <f>IFERROR('Data Sheet'!L25,0)</f>
        <v>25111</v>
      </c>
      <c r="N17" s="44">
        <f>FORECAST(N7,$C$17:$L$17,$C$7:$L$7)</f>
        <v>26471.066666666666</v>
      </c>
      <c r="O17" s="44">
        <f t="shared" ref="O17:R17" si="18">FORECAST(O7,$C$17:$L$17,$C$7:$L$7)</f>
        <v>27963.224242424243</v>
      </c>
      <c r="P17" s="44">
        <f t="shared" si="18"/>
        <v>29455.381818181821</v>
      </c>
      <c r="Q17" s="44">
        <f t="shared" si="18"/>
        <v>30947.539393939398</v>
      </c>
      <c r="R17" s="44">
        <f t="shared" si="18"/>
        <v>32439.696969696968</v>
      </c>
    </row>
    <row r="18" spans="2:18" x14ac:dyDescent="0.35">
      <c r="B18" s="45" t="s">
        <v>210</v>
      </c>
      <c r="C18" s="46">
        <f t="shared" ref="C18:G18" si="19">C17/C8</f>
        <v>6.5609015563883044E-2</v>
      </c>
      <c r="D18" s="46">
        <f t="shared" si="19"/>
        <v>6.1309714823609952E-2</v>
      </c>
      <c r="E18" s="46">
        <f t="shared" si="19"/>
        <v>6.5822972653369755E-2</v>
      </c>
      <c r="F18" s="46">
        <f t="shared" si="19"/>
        <v>6.6573893924984945E-2</v>
      </c>
      <c r="G18" s="46">
        <f t="shared" si="19"/>
        <v>6.2896515371147807E-2</v>
      </c>
      <c r="H18" s="46">
        <f t="shared" ref="H18:M18" si="20">H17/H8</f>
        <v>7.0126146348213125E-2</v>
      </c>
      <c r="I18" s="46">
        <f t="shared" si="20"/>
        <v>7.2549769593646979E-2</v>
      </c>
      <c r="J18" s="46">
        <f t="shared" si="20"/>
        <v>6.006555190163388E-2</v>
      </c>
      <c r="K18" s="46">
        <f t="shared" si="20"/>
        <v>6.3637378020328261E-2</v>
      </c>
      <c r="L18" s="46">
        <f t="shared" si="20"/>
        <v>6.5048201729783317E-2</v>
      </c>
      <c r="M18" s="46">
        <f t="shared" si="20"/>
        <v>6.5103991122772265E-2</v>
      </c>
      <c r="N18" s="46">
        <f>N17/N8</f>
        <v>6.454548088692369E-2</v>
      </c>
      <c r="O18" s="46">
        <f t="shared" ref="O18:R18" si="21">O17/O8</f>
        <v>6.1985335934860213E-2</v>
      </c>
      <c r="P18" s="46">
        <f t="shared" si="21"/>
        <v>5.8822488263528892E-2</v>
      </c>
      <c r="Q18" s="46">
        <f t="shared" si="21"/>
        <v>5.5428100036499763E-2</v>
      </c>
      <c r="R18" s="46">
        <f t="shared" si="21"/>
        <v>5.1875540373050581E-2</v>
      </c>
    </row>
    <row r="20" spans="2:18" x14ac:dyDescent="0.35">
      <c r="B20" t="s">
        <v>211</v>
      </c>
      <c r="C20" s="44">
        <f>IFERROR('Data Sheet'!B26,0)</f>
        <v>6041</v>
      </c>
      <c r="D20" s="44">
        <f>IFERROR('Data Sheet'!C26,0)</f>
        <v>8067</v>
      </c>
      <c r="E20" s="44">
        <f>IFERROR('Data Sheet'!D26,0)</f>
        <v>10045</v>
      </c>
      <c r="F20" s="44">
        <f>IFERROR('Data Sheet'!E26,0)</f>
        <v>11581</v>
      </c>
      <c r="G20" s="44">
        <f>IFERROR('Data Sheet'!F26,0)</f>
        <v>14236</v>
      </c>
      <c r="H20" s="44">
        <f>IFERROR('Data Sheet'!G26,0)</f>
        <v>16217</v>
      </c>
      <c r="I20" s="44">
        <f>IFERROR('Data Sheet'!H26,0)</f>
        <v>18752</v>
      </c>
      <c r="J20" s="44">
        <f>IFERROR('Data Sheet'!I26,0)</f>
        <v>21914</v>
      </c>
      <c r="K20" s="44">
        <f>IFERROR('Data Sheet'!J26,0)</f>
        <v>26251</v>
      </c>
      <c r="L20" s="44">
        <f>IFERROR('Data Sheet'!K26,0)</f>
        <v>29915</v>
      </c>
      <c r="M20" s="44">
        <f>IFERROR('Data Sheet'!L26,0)</f>
        <v>29902</v>
      </c>
      <c r="N20" s="44">
        <f>FORECAST(N7,$C$20:$L$20,$C$7:$L$7)</f>
        <v>30468.333333333332</v>
      </c>
      <c r="O20" s="44">
        <f t="shared" ref="O20:R20" si="22">FORECAST(O7,$C$20:$L$20,$C$7:$L$7)</f>
        <v>33044.048484848485</v>
      </c>
      <c r="P20" s="44">
        <f t="shared" si="22"/>
        <v>35619.763636363634</v>
      </c>
      <c r="Q20" s="44">
        <f t="shared" si="22"/>
        <v>38195.478787878783</v>
      </c>
      <c r="R20" s="44">
        <f t="shared" si="22"/>
        <v>40771.193939393939</v>
      </c>
    </row>
    <row r="21" spans="2:18" x14ac:dyDescent="0.35">
      <c r="B21" s="45" t="s">
        <v>212</v>
      </c>
      <c r="C21" s="46">
        <f t="shared" ref="C21:G21" si="23">C20/C8</f>
        <v>3.3047949889220163E-2</v>
      </c>
      <c r="D21" s="46">
        <f t="shared" si="23"/>
        <v>3.4516398177267184E-2</v>
      </c>
      <c r="E21" s="46">
        <f t="shared" si="23"/>
        <v>4.6582482760539605E-2</v>
      </c>
      <c r="F21" s="46">
        <f t="shared" si="23"/>
        <v>5.0520428906706681E-2</v>
      </c>
      <c r="G21" s="46">
        <f t="shared" si="23"/>
        <v>5.3600406634161032E-2</v>
      </c>
      <c r="H21" s="46">
        <f>H20/H8</f>
        <v>6.233136285716482E-2</v>
      </c>
      <c r="I21" s="46">
        <f>I20/I8</f>
        <v>6.8309564140393061E-2</v>
      </c>
      <c r="J21" s="46">
        <f t="shared" ref="J21:N21" si="24">J20/J8</f>
        <v>5.9904269074427925E-2</v>
      </c>
      <c r="K21" s="46">
        <f t="shared" si="24"/>
        <v>6.657148363798665E-2</v>
      </c>
      <c r="L21" s="46">
        <f t="shared" si="24"/>
        <v>7.8048971392045086E-2</v>
      </c>
      <c r="M21" s="46">
        <f t="shared" si="24"/>
        <v>7.752536906348359E-2</v>
      </c>
      <c r="N21" s="46">
        <f t="shared" si="24"/>
        <v>7.4292179139856598E-2</v>
      </c>
      <c r="O21" s="46">
        <f t="shared" ref="O21:R21" si="25">O20/O8</f>
        <v>7.3247863988218379E-2</v>
      </c>
      <c r="P21" s="46">
        <f t="shared" si="25"/>
        <v>7.1132777751207063E-2</v>
      </c>
      <c r="Q21" s="46">
        <f t="shared" si="25"/>
        <v>6.8409407037095568E-2</v>
      </c>
      <c r="R21" s="46">
        <f t="shared" si="25"/>
        <v>6.5198750753936607E-2</v>
      </c>
    </row>
    <row r="22" spans="2:18" x14ac:dyDescent="0.35">
      <c r="B22" s="45"/>
      <c r="C22" s="46"/>
      <c r="D22" s="46"/>
      <c r="E22" s="46"/>
      <c r="F22" s="46"/>
      <c r="G22" s="46"/>
      <c r="H22" s="46"/>
      <c r="I22" s="46"/>
      <c r="J22" s="46"/>
      <c r="K22" s="46"/>
      <c r="L22" s="46"/>
      <c r="M22" s="46"/>
    </row>
    <row r="23" spans="2:18" x14ac:dyDescent="0.35">
      <c r="B23" s="54" t="s">
        <v>85</v>
      </c>
      <c r="C23" s="55">
        <f t="shared" ref="C23:G23" si="26">IFERROR(C14-SUM(C20,C17),0)</f>
        <v>52503</v>
      </c>
      <c r="D23" s="55">
        <f t="shared" si="26"/>
        <v>71230</v>
      </c>
      <c r="E23" s="55">
        <f t="shared" si="26"/>
        <v>60024</v>
      </c>
      <c r="F23" s="55">
        <f t="shared" si="26"/>
        <v>61344</v>
      </c>
      <c r="G23" s="55">
        <f t="shared" si="26"/>
        <v>70898</v>
      </c>
      <c r="H23" s="55">
        <f>IFERROR(H14-SUM(H20,H17),0)</f>
        <v>63930</v>
      </c>
      <c r="I23" s="55">
        <f>IFERROR(I14-SUM(I20,I17),0)</f>
        <v>66288</v>
      </c>
      <c r="J23" s="55">
        <f t="shared" ref="J23:M23" si="27">IFERROR(J14-SUM(J20,J17),0)</f>
        <v>108949</v>
      </c>
      <c r="K23" s="55">
        <f t="shared" si="27"/>
        <v>119437</v>
      </c>
      <c r="L23" s="55">
        <f t="shared" si="27"/>
        <v>114301</v>
      </c>
      <c r="M23" s="55">
        <f t="shared" si="27"/>
        <v>118658</v>
      </c>
      <c r="N23" s="55">
        <f t="shared" ref="N23:R23" si="28">IFERROR(N14-SUM(N20,N17),0)</f>
        <v>125971.8677</v>
      </c>
      <c r="O23" s="55">
        <f t="shared" si="28"/>
        <v>140195.12174272726</v>
      </c>
      <c r="P23" s="55">
        <f t="shared" si="28"/>
        <v>158259.5124071546</v>
      </c>
      <c r="Q23" s="55">
        <f t="shared" si="28"/>
        <v>179875.12533397734</v>
      </c>
      <c r="R23" s="55">
        <f t="shared" si="28"/>
        <v>205689.42982860011</v>
      </c>
    </row>
    <row r="24" spans="2:18" x14ac:dyDescent="0.35">
      <c r="B24" s="45" t="s">
        <v>215</v>
      </c>
      <c r="C24" s="46">
        <f t="shared" ref="C24:G24" si="29">C23/C8</f>
        <v>0.28722339232473537</v>
      </c>
      <c r="D24" s="46">
        <f t="shared" si="29"/>
        <v>0.30477290717326661</v>
      </c>
      <c r="E24" s="46">
        <f t="shared" si="29"/>
        <v>0.27835410106706115</v>
      </c>
      <c r="F24" s="46">
        <f t="shared" si="29"/>
        <v>0.26760428208729942</v>
      </c>
      <c r="G24" s="46">
        <f t="shared" si="29"/>
        <v>0.26694026619477024</v>
      </c>
      <c r="H24" s="46">
        <f>H23/H8</f>
        <v>0.24572017188496928</v>
      </c>
      <c r="I24" s="46">
        <f>I23/I8</f>
        <v>0.24147314354406862</v>
      </c>
      <c r="J24" s="46">
        <f t="shared" ref="J24:M24" si="30">J23/J8</f>
        <v>0.29782377527561593</v>
      </c>
      <c r="K24" s="46">
        <f t="shared" si="30"/>
        <v>0.30288744395528594</v>
      </c>
      <c r="L24" s="46">
        <f t="shared" si="30"/>
        <v>0.29821412265024722</v>
      </c>
      <c r="M24" s="46">
        <f t="shared" si="30"/>
        <v>0.30763846038174153</v>
      </c>
      <c r="N24" s="46">
        <f t="shared" ref="N24:R24" si="31">N23/N8</f>
        <v>0.30716233997321968</v>
      </c>
      <c r="O24" s="46">
        <f t="shared" si="31"/>
        <v>0.31076680007692131</v>
      </c>
      <c r="P24" s="46">
        <f t="shared" si="31"/>
        <v>0.31604473398526406</v>
      </c>
      <c r="Q24" s="46">
        <f t="shared" si="31"/>
        <v>0.32216249292640459</v>
      </c>
      <c r="R24" s="46">
        <f t="shared" si="31"/>
        <v>0.32892570887301276</v>
      </c>
    </row>
    <row r="26" spans="2:18" x14ac:dyDescent="0.35">
      <c r="B26" t="s">
        <v>216</v>
      </c>
      <c r="C26" s="44">
        <f>IFERROR('Data Sheet'!B216,0)</f>
        <v>6846</v>
      </c>
      <c r="D26" s="44">
        <f>IFERROR('Data Sheet'!C216,0)</f>
        <v>9957</v>
      </c>
      <c r="E26" s="44">
        <f>IFERROR('Data Sheet'!D216,0)</f>
        <v>10505</v>
      </c>
      <c r="F26" s="44">
        <f>IFERROR('Data Sheet'!E216,0)</f>
        <v>10157</v>
      </c>
      <c r="G26" s="44">
        <f>IFERROR('Data Sheet'!F216,0)</f>
        <v>10903</v>
      </c>
      <c r="H26" s="44">
        <f>IFERROR('Data Sheet'!G216,0)</f>
        <v>12547</v>
      </c>
      <c r="I26" s="44">
        <f>IFERROR('Data Sheet'!H216,0)</f>
        <v>11056</v>
      </c>
      <c r="J26" s="44">
        <f>IFERROR('Data Sheet'!I216,0)</f>
        <v>11284</v>
      </c>
      <c r="K26" s="44">
        <f>IFERROR('Data Sheet'!J216,0)</f>
        <v>11104</v>
      </c>
      <c r="L26" s="44">
        <f>IFERROR('Data Sheet'!K216,0)</f>
        <v>11519</v>
      </c>
      <c r="M26" s="44">
        <f>IFERROR('Data Sheet'!L216,0)</f>
        <v>11451</v>
      </c>
      <c r="N26" s="44">
        <f>FORECAST(N7,$C$26:$L$26,$C$7:$L$7)</f>
        <v>12531.866666666667</v>
      </c>
      <c r="O26" s="44">
        <f t="shared" ref="O26" si="32">FORECAST(O7,$C$26:$L$26,$C$7:$L$7)</f>
        <v>12885.333333333332</v>
      </c>
      <c r="P26" s="44">
        <v>12885</v>
      </c>
      <c r="Q26" s="44">
        <v>12885</v>
      </c>
      <c r="R26" s="44">
        <v>12885</v>
      </c>
    </row>
    <row r="27" spans="2:18" x14ac:dyDescent="0.35">
      <c r="B27" s="45" t="s">
        <v>217</v>
      </c>
      <c r="C27" s="46">
        <f t="shared" ref="C27:G27" si="33">C26/C8</f>
        <v>3.7451790256845099E-2</v>
      </c>
      <c r="D27" s="46">
        <f t="shared" si="33"/>
        <v>4.2603170528207432E-2</v>
      </c>
      <c r="E27" s="46">
        <f t="shared" si="33"/>
        <v>4.8715677590788306E-2</v>
      </c>
      <c r="F27" s="46">
        <f t="shared" si="33"/>
        <v>4.4308435921372923E-2</v>
      </c>
      <c r="G27" s="46">
        <f t="shared" si="33"/>
        <v>4.1051224608897006E-2</v>
      </c>
      <c r="H27" s="46">
        <f t="shared" ref="H27:N27" si="34">H26/H8</f>
        <v>4.8225418373857493E-2</v>
      </c>
      <c r="I27" s="46">
        <f t="shared" si="34"/>
        <v>4.0274666229532081E-2</v>
      </c>
      <c r="J27" s="46">
        <f t="shared" si="34"/>
        <v>3.084602410494865E-2</v>
      </c>
      <c r="K27" s="46">
        <f t="shared" si="34"/>
        <v>2.8159298857803657E-2</v>
      </c>
      <c r="L27" s="46">
        <f t="shared" si="34"/>
        <v>3.0053354553400212E-2</v>
      </c>
      <c r="M27" s="46">
        <f t="shared" si="34"/>
        <v>2.9688415528926176E-2</v>
      </c>
      <c r="N27" s="46">
        <f t="shared" si="34"/>
        <v>3.0556961326736971E-2</v>
      </c>
      <c r="O27" s="46">
        <f t="shared" ref="O27:R27" si="35">O26/O8</f>
        <v>2.8562575916677487E-2</v>
      </c>
      <c r="P27" s="46">
        <f t="shared" si="35"/>
        <v>2.5731384707691221E-2</v>
      </c>
      <c r="Q27" s="46">
        <f t="shared" si="35"/>
        <v>2.307747507416253E-2</v>
      </c>
      <c r="R27" s="46">
        <f t="shared" si="35"/>
        <v>2.0604888459073687E-2</v>
      </c>
    </row>
    <row r="29" spans="2:18" x14ac:dyDescent="0.35">
      <c r="B29" s="54" t="s">
        <v>3</v>
      </c>
      <c r="C29" s="55">
        <f t="shared" ref="C29:G29" si="36">IFERROR(C23+C26,0)</f>
        <v>59349</v>
      </c>
      <c r="D29" s="55">
        <f t="shared" si="36"/>
        <v>81187</v>
      </c>
      <c r="E29" s="55">
        <f t="shared" si="36"/>
        <v>70529</v>
      </c>
      <c r="F29" s="55">
        <f t="shared" si="36"/>
        <v>71501</v>
      </c>
      <c r="G29" s="55">
        <f t="shared" si="36"/>
        <v>81801</v>
      </c>
      <c r="H29" s="55">
        <f>IFERROR(H23+H26,0)</f>
        <v>76477</v>
      </c>
      <c r="I29" s="55">
        <f>IFERROR(I23+I26,0)</f>
        <v>77344</v>
      </c>
      <c r="J29" s="55">
        <f t="shared" ref="J29:M29" si="37">IFERROR(J23+J26,0)</f>
        <v>120233</v>
      </c>
      <c r="K29" s="55">
        <f t="shared" si="37"/>
        <v>130541</v>
      </c>
      <c r="L29" s="55">
        <f t="shared" si="37"/>
        <v>125820</v>
      </c>
      <c r="M29" s="55">
        <f t="shared" si="37"/>
        <v>130109</v>
      </c>
      <c r="N29" s="55">
        <f t="shared" ref="N29:R29" si="38">IFERROR(N23+N26,0)</f>
        <v>138503.73436666667</v>
      </c>
      <c r="O29" s="55">
        <f t="shared" si="38"/>
        <v>153080.45507606061</v>
      </c>
      <c r="P29" s="55">
        <f t="shared" si="38"/>
        <v>171144.5124071546</v>
      </c>
      <c r="Q29" s="55">
        <f t="shared" si="38"/>
        <v>192760.12533397734</v>
      </c>
      <c r="R29" s="55">
        <f t="shared" si="38"/>
        <v>218574.42982860011</v>
      </c>
    </row>
    <row r="30" spans="2:18" x14ac:dyDescent="0.35">
      <c r="B30" s="45" t="s">
        <v>213</v>
      </c>
      <c r="C30" s="46">
        <f t="shared" ref="C30:G30" si="39">C29/C8</f>
        <v>0.32467518258158046</v>
      </c>
      <c r="D30" s="46">
        <f t="shared" si="39"/>
        <v>0.347376077701474</v>
      </c>
      <c r="E30" s="46">
        <f t="shared" si="39"/>
        <v>0.32706977865784947</v>
      </c>
      <c r="F30" s="46">
        <f t="shared" si="39"/>
        <v>0.31191271800867237</v>
      </c>
      <c r="G30" s="46">
        <f t="shared" si="39"/>
        <v>0.30799149080366722</v>
      </c>
      <c r="H30" s="46">
        <f t="shared" ref="H30:M30" si="40">H29/H8</f>
        <v>0.29394559025882677</v>
      </c>
      <c r="I30" s="46">
        <f t="shared" si="40"/>
        <v>0.2817478097736007</v>
      </c>
      <c r="J30" s="46">
        <f t="shared" si="40"/>
        <v>0.32866979938056462</v>
      </c>
      <c r="K30" s="46">
        <f t="shared" si="40"/>
        <v>0.3310467428130896</v>
      </c>
      <c r="L30" s="46">
        <f t="shared" si="40"/>
        <v>0.32826747720364741</v>
      </c>
      <c r="M30" s="46">
        <f t="shared" si="40"/>
        <v>0.33732687591066773</v>
      </c>
      <c r="N30" s="46">
        <f t="shared" ref="N30:R30" si="41">N29/N8</f>
        <v>0.3377193012999567</v>
      </c>
      <c r="O30" s="46">
        <f t="shared" si="41"/>
        <v>0.33932937599359886</v>
      </c>
      <c r="P30" s="46">
        <f t="shared" si="41"/>
        <v>0.34177611869295527</v>
      </c>
      <c r="Q30" s="46">
        <f t="shared" si="41"/>
        <v>0.34523996800056717</v>
      </c>
      <c r="R30" s="46">
        <f t="shared" si="41"/>
        <v>0.34953059733208647</v>
      </c>
    </row>
    <row r="31" spans="2:18" x14ac:dyDescent="0.35">
      <c r="B31" s="45"/>
      <c r="C31" s="46"/>
      <c r="D31" s="46"/>
      <c r="E31" s="46"/>
      <c r="F31" s="46"/>
      <c r="G31" s="46"/>
      <c r="H31" s="46"/>
      <c r="I31" s="46"/>
      <c r="J31" s="46"/>
      <c r="K31" s="46"/>
      <c r="L31" s="46"/>
      <c r="M31" s="46"/>
    </row>
    <row r="32" spans="2:18" x14ac:dyDescent="0.35">
      <c r="B32" t="s">
        <v>226</v>
      </c>
      <c r="C32" s="44">
        <f>IFERROR('Data Sheet'!B38,0)</f>
        <v>-431</v>
      </c>
      <c r="D32" s="44">
        <f>IFERROR('Data Sheet'!C38,0)</f>
        <v>-903</v>
      </c>
      <c r="E32" s="44">
        <f>IFERROR('Data Sheet'!D38,0)</f>
        <v>-1195</v>
      </c>
      <c r="F32" s="44">
        <f>IFERROR('Data Sheet'!E38,0)</f>
        <v>-133</v>
      </c>
      <c r="G32" s="44">
        <f>IFERROR('Data Sheet'!F38,0)</f>
        <v>-441</v>
      </c>
      <c r="H32" s="44">
        <f>IFERROR('Data Sheet'!G38,0)</f>
        <v>422</v>
      </c>
      <c r="I32" s="44">
        <f>IFERROR('Data Sheet'!H38,0)</f>
        <v>-87</v>
      </c>
      <c r="J32" s="44">
        <f>IFERROR('Data Sheet'!I38,0)</f>
        <v>60</v>
      </c>
      <c r="K32" s="44">
        <f>IFERROR('Data Sheet'!J38,0)</f>
        <v>-228</v>
      </c>
      <c r="L32" s="44">
        <f>IFERROR('Data Sheet'!K38,0)</f>
        <v>-382</v>
      </c>
      <c r="M32" s="44">
        <f>IFERROR('Data Sheet'!L38,0)</f>
        <v>-39</v>
      </c>
      <c r="N32" s="44">
        <f>FORECAST(N7,$C$32:$L$32,$C$7:$L$7)</f>
        <v>82.933333333333394</v>
      </c>
      <c r="O32" s="44">
        <f t="shared" ref="O32:R32" si="42">FORECAST(O7,$C$32:$L$32,$C$7:$L$7)</f>
        <v>158.33939393939397</v>
      </c>
      <c r="P32" s="44">
        <f t="shared" si="42"/>
        <v>233.74545454545466</v>
      </c>
      <c r="Q32" s="44">
        <f t="shared" si="42"/>
        <v>309.15151515151535</v>
      </c>
      <c r="R32" s="44">
        <f t="shared" si="42"/>
        <v>384.55757575757582</v>
      </c>
    </row>
    <row r="33" spans="2:18" x14ac:dyDescent="0.35">
      <c r="B33" s="45" t="s">
        <v>227</v>
      </c>
      <c r="C33" s="46">
        <f t="shared" ref="C33:G33" si="43">C32/C11</f>
        <v>-3.8393700226264497E-3</v>
      </c>
      <c r="D33" s="46">
        <f t="shared" si="43"/>
        <v>-6.4459022478567194E-3</v>
      </c>
      <c r="E33" s="46">
        <f t="shared" si="43"/>
        <v>-9.0960297162343204E-3</v>
      </c>
      <c r="F33" s="46">
        <f t="shared" si="43"/>
        <v>-9.4294141001644829E-4</v>
      </c>
      <c r="G33" s="46">
        <f t="shared" si="43"/>
        <v>-2.6930310950438459E-3</v>
      </c>
      <c r="H33" s="46">
        <f t="shared" ref="H33:N33" si="44">H32/H11</f>
        <v>2.6084484058795168E-3</v>
      </c>
      <c r="I33" s="46">
        <f t="shared" si="44"/>
        <v>-5.1309573658726458E-4</v>
      </c>
      <c r="J33" s="46">
        <f t="shared" si="44"/>
        <v>2.8171527037623072E-4</v>
      </c>
      <c r="K33" s="46">
        <f t="shared" si="44"/>
        <v>-1.0199243108800873E-3</v>
      </c>
      <c r="L33" s="46">
        <f t="shared" si="44"/>
        <v>-1.7839046965260558E-3</v>
      </c>
      <c r="M33" s="46">
        <f t="shared" si="44"/>
        <v>-1.8393189803570165E-4</v>
      </c>
      <c r="N33" s="46">
        <f t="shared" si="44"/>
        <v>3.6501755822701906E-4</v>
      </c>
      <c r="O33" s="46">
        <f t="shared" ref="O33:R33" si="45">O32/O11</f>
        <v>6.3355004691870349E-4</v>
      </c>
      <c r="P33" s="46">
        <f t="shared" si="45"/>
        <v>8.4258193693212879E-4</v>
      </c>
      <c r="Q33" s="46">
        <f t="shared" si="45"/>
        <v>9.9946014872590982E-4</v>
      </c>
      <c r="R33" s="46">
        <f t="shared" si="45"/>
        <v>1.1100369912929607E-3</v>
      </c>
    </row>
    <row r="34" spans="2:18" x14ac:dyDescent="0.35">
      <c r="B34" s="45"/>
      <c r="C34" s="46"/>
      <c r="D34" s="46"/>
      <c r="E34" s="46"/>
      <c r="F34" s="46"/>
      <c r="G34" s="46"/>
      <c r="H34" s="46"/>
      <c r="I34" s="46"/>
      <c r="J34" s="46"/>
      <c r="K34" s="46"/>
      <c r="L34" s="46"/>
      <c r="M34" s="46"/>
    </row>
    <row r="35" spans="2:18" x14ac:dyDescent="0.35">
      <c r="B35" t="s">
        <v>225</v>
      </c>
      <c r="C35" s="44">
        <f>IFERROR('Data Sheet'!B36,0)</f>
        <v>1411</v>
      </c>
      <c r="D35" s="44">
        <f>IFERROR('Data Sheet'!C36,0)</f>
        <v>2188</v>
      </c>
      <c r="E35" s="44">
        <f>IFERROR('Data Sheet'!D36,0)</f>
        <v>2543</v>
      </c>
      <c r="F35" s="44">
        <f>IFERROR('Data Sheet'!E36,0)</f>
        <v>2878</v>
      </c>
      <c r="G35" s="44">
        <f>IFERROR('Data Sheet'!F36,0)</f>
        <v>2446</v>
      </c>
      <c r="H35" s="44">
        <f>IFERROR('Data Sheet'!G36,0)</f>
        <v>1385</v>
      </c>
      <c r="I35" s="44">
        <f>IFERROR('Data Sheet'!H36,0)</f>
        <v>890</v>
      </c>
      <c r="J35" s="44">
        <f>IFERROR('Data Sheet'!I36,0)</f>
        <v>198</v>
      </c>
      <c r="K35" s="44">
        <f>IFERROR('Data Sheet'!J36,0)</f>
        <v>-106</v>
      </c>
      <c r="L35" s="44">
        <f>IFERROR('Data Sheet'!K36,0)</f>
        <v>-183</v>
      </c>
      <c r="M35" s="44">
        <f>IFERROR('Data Sheet'!L36,0)</f>
        <v>-183</v>
      </c>
      <c r="N35" s="44">
        <f>FORECAST(N7,$C$35:$L$35,$C$7:$L$7)</f>
        <v>-273.4666666666667</v>
      </c>
      <c r="O35" s="44">
        <f t="shared" ref="O35:R35" si="46">FORECAST(O7,$C$35:$L$35,$C$7:$L$7)</f>
        <v>-571.36969696969709</v>
      </c>
      <c r="P35" s="44">
        <f t="shared" si="46"/>
        <v>-869.27272727272748</v>
      </c>
      <c r="Q35" s="44">
        <f t="shared" si="46"/>
        <v>-1167.1757575757574</v>
      </c>
      <c r="R35" s="44">
        <f t="shared" si="46"/>
        <v>-1465.0787878787878</v>
      </c>
    </row>
    <row r="36" spans="2:18" x14ac:dyDescent="0.35">
      <c r="B36" s="45" t="s">
        <v>214</v>
      </c>
      <c r="C36" s="46">
        <f t="shared" ref="C36:G36" si="47">C35/C8</f>
        <v>7.7190295139363766E-3</v>
      </c>
      <c r="D36" s="46">
        <f t="shared" si="47"/>
        <v>9.3618295787604566E-3</v>
      </c>
      <c r="E36" s="46">
        <f t="shared" si="47"/>
        <v>1.1792857507222719E-2</v>
      </c>
      <c r="F36" s="46">
        <f t="shared" si="47"/>
        <v>1.2554856609403491E-2</v>
      </c>
      <c r="G36" s="46">
        <f t="shared" si="47"/>
        <v>9.2095107212108659E-3</v>
      </c>
      <c r="H36" s="46">
        <f>H35/H8</f>
        <v>5.3233605202672061E-3</v>
      </c>
      <c r="I36" s="46">
        <f>I35/I8</f>
        <v>3.242081489171812E-3</v>
      </c>
      <c r="J36" s="46">
        <f t="shared" ref="J36:N36" si="48">J35/J8</f>
        <v>5.4125423367421411E-4</v>
      </c>
      <c r="K36" s="46">
        <f t="shared" si="48"/>
        <v>-2.6881175062384616E-4</v>
      </c>
      <c r="L36" s="46">
        <f t="shared" si="48"/>
        <v>-4.7745150475494736E-4</v>
      </c>
      <c r="M36" s="46">
        <f t="shared" si="48"/>
        <v>-4.7445463643293079E-4</v>
      </c>
      <c r="N36" s="46">
        <f t="shared" si="48"/>
        <v>-6.6680492058791493E-4</v>
      </c>
      <c r="O36" s="46">
        <f t="shared" ref="O36:R36" si="49">O35/O8</f>
        <v>-1.2665400206580597E-3</v>
      </c>
      <c r="P36" s="46">
        <f t="shared" si="49"/>
        <v>-1.7359403152005046E-3</v>
      </c>
      <c r="Q36" s="46">
        <f t="shared" si="49"/>
        <v>-2.0904516455274593E-3</v>
      </c>
      <c r="R36" s="46">
        <f t="shared" si="49"/>
        <v>-2.3428626315869076E-3</v>
      </c>
    </row>
    <row r="38" spans="2:18" x14ac:dyDescent="0.35">
      <c r="B38" t="s">
        <v>216</v>
      </c>
      <c r="C38" s="44">
        <f>IFERROR('Data Sheet'!B216,0)</f>
        <v>6846</v>
      </c>
      <c r="D38" s="44">
        <f>IFERROR('Data Sheet'!C216,0)</f>
        <v>9957</v>
      </c>
      <c r="E38" s="44">
        <f>IFERROR('Data Sheet'!D216,0)</f>
        <v>10505</v>
      </c>
      <c r="F38" s="44">
        <f>IFERROR('Data Sheet'!E216,0)</f>
        <v>10157</v>
      </c>
      <c r="G38" s="44">
        <f>IFERROR('Data Sheet'!F216,0)</f>
        <v>10903</v>
      </c>
      <c r="H38" s="44">
        <f>IFERROR('Data Sheet'!G216,0)</f>
        <v>12547</v>
      </c>
      <c r="I38" s="44">
        <f>IFERROR('Data Sheet'!H216,0)</f>
        <v>11056</v>
      </c>
      <c r="J38" s="44">
        <f>IFERROR('Data Sheet'!I216,0)</f>
        <v>11284</v>
      </c>
      <c r="K38" s="44">
        <f>IFERROR('Data Sheet'!J216,0)</f>
        <v>11104</v>
      </c>
      <c r="L38" s="44">
        <f>IFERROR('Data Sheet'!K216,0)</f>
        <v>11519</v>
      </c>
      <c r="M38" s="44">
        <f>IFERROR('Data Sheet'!L216,0)</f>
        <v>11451</v>
      </c>
      <c r="N38" s="44">
        <f>FORECAST(N7,$C$38:$L$38,$C$7:$L$7)</f>
        <v>12531.866666666667</v>
      </c>
      <c r="O38" s="44">
        <f t="shared" ref="O38:R38" si="50">FORECAST(O7,$C$38:$L$38,$C$7:$L$7)</f>
        <v>12885.333333333332</v>
      </c>
      <c r="P38" s="44">
        <f t="shared" si="50"/>
        <v>13238.8</v>
      </c>
      <c r="Q38" s="44">
        <f t="shared" si="50"/>
        <v>13592.266666666666</v>
      </c>
      <c r="R38" s="44">
        <f t="shared" si="50"/>
        <v>13945.733333333334</v>
      </c>
    </row>
    <row r="39" spans="2:18" x14ac:dyDescent="0.35">
      <c r="B39" s="45" t="s">
        <v>217</v>
      </c>
      <c r="C39" s="46">
        <f t="shared" ref="C39:G39" si="51">C38/C8</f>
        <v>3.7451790256845099E-2</v>
      </c>
      <c r="D39" s="46">
        <f t="shared" si="51"/>
        <v>4.2603170528207432E-2</v>
      </c>
      <c r="E39" s="46">
        <f t="shared" si="51"/>
        <v>4.8715677590788306E-2</v>
      </c>
      <c r="F39" s="46">
        <f t="shared" si="51"/>
        <v>4.4308435921372923E-2</v>
      </c>
      <c r="G39" s="46">
        <f t="shared" si="51"/>
        <v>4.1051224608897006E-2</v>
      </c>
      <c r="H39" s="46">
        <f>H38/H8</f>
        <v>4.8225418373857493E-2</v>
      </c>
      <c r="I39" s="46">
        <f>I38/I8</f>
        <v>4.0274666229532081E-2</v>
      </c>
      <c r="J39" s="46">
        <f t="shared" ref="J39:N39" si="52">J38/J8</f>
        <v>3.084602410494865E-2</v>
      </c>
      <c r="K39" s="46">
        <f t="shared" si="52"/>
        <v>2.8159298857803657E-2</v>
      </c>
      <c r="L39" s="46">
        <f t="shared" si="52"/>
        <v>3.0053354553400212E-2</v>
      </c>
      <c r="M39" s="46">
        <f t="shared" si="52"/>
        <v>2.9688415528926176E-2</v>
      </c>
      <c r="N39" s="46">
        <f t="shared" si="52"/>
        <v>3.0556961326736971E-2</v>
      </c>
      <c r="O39" s="46">
        <f t="shared" ref="O39:R39" si="53">O38/O8</f>
        <v>2.8562575916677487E-2</v>
      </c>
      <c r="P39" s="46">
        <f t="shared" si="53"/>
        <v>2.6437924397996315E-2</v>
      </c>
      <c r="Q39" s="46">
        <f t="shared" si="53"/>
        <v>2.4344213830141268E-2</v>
      </c>
      <c r="R39" s="46">
        <f t="shared" si="53"/>
        <v>2.2301147055748486E-2</v>
      </c>
    </row>
    <row r="41" spans="2:18" x14ac:dyDescent="0.35">
      <c r="B41" s="54" t="s">
        <v>4</v>
      </c>
      <c r="C41" s="55">
        <f t="shared" ref="C41:G41" si="54">IFERROR(C29+C32+C35-C38,0)</f>
        <v>53483</v>
      </c>
      <c r="D41" s="55">
        <f t="shared" si="54"/>
        <v>72515</v>
      </c>
      <c r="E41" s="55">
        <f t="shared" si="54"/>
        <v>61372</v>
      </c>
      <c r="F41" s="55">
        <f t="shared" si="54"/>
        <v>64089</v>
      </c>
      <c r="G41" s="55">
        <f t="shared" si="54"/>
        <v>72903</v>
      </c>
      <c r="H41" s="55">
        <f>IFERROR(H29+H32+H35-H38,0)</f>
        <v>65737</v>
      </c>
      <c r="I41" s="55">
        <f>IFERROR(I29+I32+I35-I38,0)</f>
        <v>67091</v>
      </c>
      <c r="J41" s="55">
        <f t="shared" ref="J41:M41" si="55">IFERROR(J29+J32+J35-J38,0)</f>
        <v>109207</v>
      </c>
      <c r="K41" s="55">
        <f t="shared" si="55"/>
        <v>119103</v>
      </c>
      <c r="L41" s="55">
        <f t="shared" si="55"/>
        <v>113736</v>
      </c>
      <c r="M41" s="55">
        <f t="shared" si="55"/>
        <v>118436</v>
      </c>
      <c r="N41" s="55">
        <f t="shared" ref="N41:R41" si="56">IFERROR(N29+N32+N35-N38,0)</f>
        <v>125781.33436666665</v>
      </c>
      <c r="O41" s="55">
        <f t="shared" si="56"/>
        <v>139782.09143969696</v>
      </c>
      <c r="P41" s="55">
        <f t="shared" si="56"/>
        <v>157270.18513442733</v>
      </c>
      <c r="Q41" s="55">
        <f t="shared" si="56"/>
        <v>178309.83442488645</v>
      </c>
      <c r="R41" s="55">
        <f t="shared" si="56"/>
        <v>203548.17528314557</v>
      </c>
    </row>
    <row r="42" spans="2:18" x14ac:dyDescent="0.35">
      <c r="B42" s="45" t="s">
        <v>220</v>
      </c>
      <c r="C42" s="46">
        <f t="shared" ref="C42:G42" si="57">C41/C8</f>
        <v>0.29258458929401787</v>
      </c>
      <c r="D42" s="46">
        <f t="shared" si="57"/>
        <v>0.31027105662880006</v>
      </c>
      <c r="E42" s="46">
        <f t="shared" si="57"/>
        <v>0.28460528939570301</v>
      </c>
      <c r="F42" s="46">
        <f t="shared" si="57"/>
        <v>0.27957894553164014</v>
      </c>
      <c r="G42" s="46">
        <f t="shared" si="57"/>
        <v>0.27448935409175623</v>
      </c>
      <c r="H42" s="46">
        <f>H41/H8</f>
        <v>0.25266552384173668</v>
      </c>
      <c r="I42" s="46">
        <f>I41/I8</f>
        <v>0.24439830246070343</v>
      </c>
      <c r="J42" s="46">
        <f t="shared" ref="J42:M42" si="58">J41/J8</f>
        <v>0.29852904594373691</v>
      </c>
      <c r="K42" s="46">
        <f t="shared" si="58"/>
        <v>0.30204043334482966</v>
      </c>
      <c r="L42" s="46">
        <f t="shared" si="58"/>
        <v>0.29674002374212399</v>
      </c>
      <c r="M42" s="46">
        <f t="shared" si="58"/>
        <v>0.30706289246213436</v>
      </c>
      <c r="N42" s="46">
        <f t="shared" ref="N42:R42" si="59">N41/N8</f>
        <v>0.30669775477988948</v>
      </c>
      <c r="O42" s="46">
        <f t="shared" si="59"/>
        <v>0.30985124678225623</v>
      </c>
      <c r="P42" s="46">
        <f t="shared" si="59"/>
        <v>0.31406904437281885</v>
      </c>
      <c r="Q42" s="46">
        <f t="shared" si="59"/>
        <v>0.31935900344729262</v>
      </c>
      <c r="R42" s="46">
        <f t="shared" si="59"/>
        <v>0.32550154813792737</v>
      </c>
    </row>
    <row r="44" spans="2:18" x14ac:dyDescent="0.35">
      <c r="B44" t="s">
        <v>221</v>
      </c>
      <c r="C44" s="44">
        <f>IFERROR('Data Sheet'!B45,0)</f>
        <v>13973</v>
      </c>
      <c r="D44" s="44">
        <f>IFERROR('Data Sheet'!C45,0)</f>
        <v>19121</v>
      </c>
      <c r="E44" s="44">
        <f>IFERROR('Data Sheet'!D45,0)</f>
        <v>15685</v>
      </c>
      <c r="F44" s="44">
        <f>IFERROR('Data Sheet'!E45,0)</f>
        <v>15738</v>
      </c>
      <c r="G44" s="44">
        <f>IFERROR('Data Sheet'!F45,0)</f>
        <v>13372</v>
      </c>
      <c r="H44" s="44">
        <f>IFERROR('Data Sheet'!G45,0)</f>
        <v>10481</v>
      </c>
      <c r="I44" s="44">
        <f>IFERROR('Data Sheet'!H45,0)</f>
        <v>9680</v>
      </c>
      <c r="J44" s="44">
        <f>IFERROR('Data Sheet'!I45,0)</f>
        <v>14527</v>
      </c>
      <c r="K44" s="44">
        <f>IFERROR('Data Sheet'!J45,0)</f>
        <v>19300</v>
      </c>
      <c r="L44" s="44">
        <f>IFERROR('Data Sheet'!K45,0)</f>
        <v>16741</v>
      </c>
      <c r="M44" s="44">
        <f>IFERROR('Data Sheet'!L45,0)</f>
        <v>17523</v>
      </c>
      <c r="N44" s="44">
        <f>N41*N45</f>
        <v>18515.012418773331</v>
      </c>
      <c r="O44" s="44">
        <f t="shared" ref="O44:R44" si="60">O41*O45</f>
        <v>20575.92385992339</v>
      </c>
      <c r="P44" s="44">
        <f t="shared" si="60"/>
        <v>23150.171251787702</v>
      </c>
      <c r="Q44" s="44">
        <f t="shared" si="60"/>
        <v>26247.207627343283</v>
      </c>
      <c r="R44" s="44">
        <f t="shared" si="60"/>
        <v>29962.291401679027</v>
      </c>
    </row>
    <row r="45" spans="2:18" x14ac:dyDescent="0.35">
      <c r="B45" s="45" t="s">
        <v>222</v>
      </c>
      <c r="C45" s="46">
        <f t="shared" ref="C45:G45" si="61">C44/C41</f>
        <v>0.26126058747639436</v>
      </c>
      <c r="D45" s="46">
        <f t="shared" si="61"/>
        <v>0.26368337585327173</v>
      </c>
      <c r="E45" s="46">
        <f t="shared" si="61"/>
        <v>0.25557257381216192</v>
      </c>
      <c r="F45" s="46">
        <f t="shared" si="61"/>
        <v>0.24556476150353415</v>
      </c>
      <c r="G45" s="46">
        <f t="shared" si="61"/>
        <v>0.18342180705869443</v>
      </c>
      <c r="H45" s="46">
        <f>H44/H41</f>
        <v>0.15943836804235059</v>
      </c>
      <c r="I45" s="46">
        <f>I44/I41</f>
        <v>0.14428164731484103</v>
      </c>
      <c r="J45" s="46">
        <f t="shared" ref="J45:K45" si="62">J44/J41</f>
        <v>0.13302260844085087</v>
      </c>
      <c r="K45" s="46">
        <f t="shared" si="62"/>
        <v>0.16204461684424407</v>
      </c>
      <c r="L45" s="46">
        <f>L44/L41</f>
        <v>0.14719174228036858</v>
      </c>
      <c r="M45" s="46">
        <f>M44/M41</f>
        <v>0.14795332500253303</v>
      </c>
      <c r="N45" s="46">
        <v>0.1472</v>
      </c>
      <c r="O45" s="46">
        <v>0.1472</v>
      </c>
      <c r="P45" s="46">
        <v>0.1472</v>
      </c>
      <c r="Q45" s="46">
        <v>0.1472</v>
      </c>
      <c r="R45" s="46">
        <v>0.1472</v>
      </c>
    </row>
    <row r="47" spans="2:18" x14ac:dyDescent="0.35">
      <c r="B47" s="54" t="s">
        <v>223</v>
      </c>
      <c r="C47" s="55">
        <f t="shared" ref="C47:G47" si="63">IFERROR(C41-C44,0)</f>
        <v>39510</v>
      </c>
      <c r="D47" s="55">
        <f t="shared" si="63"/>
        <v>53394</v>
      </c>
      <c r="E47" s="55">
        <f t="shared" si="63"/>
        <v>45687</v>
      </c>
      <c r="F47" s="55">
        <f t="shared" si="63"/>
        <v>48351</v>
      </c>
      <c r="G47" s="55">
        <f t="shared" si="63"/>
        <v>59531</v>
      </c>
      <c r="H47" s="55">
        <f>IFERROR(H41-H44,0)</f>
        <v>55256</v>
      </c>
      <c r="I47" s="55">
        <f>IFERROR(I41-I44,0)</f>
        <v>57411</v>
      </c>
      <c r="J47" s="55">
        <f t="shared" ref="J47:L47" si="64">IFERROR(J41-J44,0)</f>
        <v>94680</v>
      </c>
      <c r="K47" s="55">
        <f t="shared" si="64"/>
        <v>99803</v>
      </c>
      <c r="L47" s="55">
        <f t="shared" si="64"/>
        <v>96995</v>
      </c>
      <c r="M47" s="55">
        <f>IFERROR(M41-M44,0)</f>
        <v>100913</v>
      </c>
      <c r="N47" s="55">
        <f>IFERROR(N41-N44,0)</f>
        <v>107266.32194789332</v>
      </c>
      <c r="O47" s="55">
        <f t="shared" ref="O47:R47" si="65">IFERROR(O41-O44,0)</f>
        <v>119206.16757977357</v>
      </c>
      <c r="P47" s="55">
        <f t="shared" si="65"/>
        <v>134120.01388263964</v>
      </c>
      <c r="Q47" s="55">
        <f t="shared" si="65"/>
        <v>152062.62679754317</v>
      </c>
      <c r="R47" s="55">
        <f t="shared" si="65"/>
        <v>173585.88388146655</v>
      </c>
    </row>
    <row r="48" spans="2:18" x14ac:dyDescent="0.35">
      <c r="B48" s="45" t="s">
        <v>224</v>
      </c>
      <c r="C48" s="46">
        <f t="shared" ref="C48:G48" si="66">C47/C8</f>
        <v>0.21614376760852322</v>
      </c>
      <c r="D48" s="46">
        <f t="shared" si="66"/>
        <v>0.22845773698735639</v>
      </c>
      <c r="E48" s="46">
        <f t="shared" si="66"/>
        <v>0.211867983064288</v>
      </c>
      <c r="F48" s="46">
        <f t="shared" si="66"/>
        <v>0.21092420845075338</v>
      </c>
      <c r="G48" s="46">
        <f t="shared" si="66"/>
        <v>0.22414202074587247</v>
      </c>
      <c r="H48" s="46">
        <f>H47/H8</f>
        <v>0.21238094505984456</v>
      </c>
      <c r="I48" s="46">
        <f>I47/I8</f>
        <v>0.20913611278072236</v>
      </c>
      <c r="J48" s="46">
        <f t="shared" ref="J48:M48" si="67">J47/J8</f>
        <v>0.25881793355694238</v>
      </c>
      <c r="K48" s="46">
        <f t="shared" si="67"/>
        <v>0.25309640705199732</v>
      </c>
      <c r="L48" s="46">
        <f t="shared" si="67"/>
        <v>0.25306234264320282</v>
      </c>
      <c r="M48" s="46">
        <f t="shared" si="67"/>
        <v>0.26163191653746637</v>
      </c>
      <c r="N48" s="46">
        <f>N47/N8</f>
        <v>0.26155184527628977</v>
      </c>
      <c r="O48" s="46">
        <f t="shared" ref="O48:R48" si="68">O47/O8</f>
        <v>0.26424114325590808</v>
      </c>
      <c r="P48" s="46">
        <f t="shared" si="68"/>
        <v>0.26783808104113993</v>
      </c>
      <c r="Q48" s="46">
        <f t="shared" si="68"/>
        <v>0.27234935813985112</v>
      </c>
      <c r="R48" s="46">
        <f t="shared" si="68"/>
        <v>0.27758772025202449</v>
      </c>
    </row>
    <row r="50" spans="1:18" x14ac:dyDescent="0.35">
      <c r="B50" t="s">
        <v>228</v>
      </c>
      <c r="C50" s="9">
        <f>IFERROR('Data Sheet'!B183,0)</f>
        <v>23464.644</v>
      </c>
      <c r="D50" s="9">
        <f>IFERROR('Data Sheet'!C183,0)</f>
        <v>22315.011999999999</v>
      </c>
      <c r="E50" s="9">
        <f>IFERROR('Data Sheet'!D183,0)</f>
        <v>21344.664000000001</v>
      </c>
      <c r="F50" s="9">
        <f>IFERROR('Data Sheet'!E183,0)</f>
        <v>20504.804</v>
      </c>
      <c r="G50" s="9">
        <f>IFERROR('Data Sheet'!F183,0)</f>
        <v>19019.944</v>
      </c>
      <c r="H50" s="9">
        <f>IFERROR('Data Sheet'!G183,0)</f>
        <v>17772.944</v>
      </c>
      <c r="I50" s="9">
        <f>IFERROR('Data Sheet'!H183,0)</f>
        <v>16976.762999999999</v>
      </c>
      <c r="J50" s="9">
        <f>IFERROR('Data Sheet'!I183,0)</f>
        <v>16426.786</v>
      </c>
      <c r="K50" s="9">
        <f>IFERROR('Data Sheet'!J183,0)</f>
        <v>15943.424999999999</v>
      </c>
      <c r="L50" s="9">
        <f>IFERROR('Data Sheet'!K183,0)</f>
        <v>15550.061</v>
      </c>
      <c r="M50" s="9">
        <f>IFERROR('Data Sheet'!L183,0)</f>
        <v>15460.223</v>
      </c>
      <c r="N50" s="50">
        <v>15460</v>
      </c>
      <c r="O50" s="50">
        <f>N50</f>
        <v>15460</v>
      </c>
      <c r="P50" s="50">
        <f t="shared" ref="P50:R50" si="69">O50</f>
        <v>15460</v>
      </c>
      <c r="Q50" s="50">
        <f t="shared" si="69"/>
        <v>15460</v>
      </c>
      <c r="R50" s="50">
        <f t="shared" si="69"/>
        <v>15460</v>
      </c>
    </row>
    <row r="52" spans="1:18" x14ac:dyDescent="0.35">
      <c r="B52" t="s">
        <v>229</v>
      </c>
      <c r="C52" s="50">
        <f>IFERROR(C47/C50,0)</f>
        <v>1.6838099056606186</v>
      </c>
      <c r="D52" s="50">
        <f t="shared" ref="D52:G52" si="70">IFERROR(D47/D50,0)</f>
        <v>2.3927390225019822</v>
      </c>
      <c r="E52" s="50">
        <f t="shared" si="70"/>
        <v>2.1404412831235011</v>
      </c>
      <c r="F52" s="50">
        <f t="shared" si="70"/>
        <v>2.3580327810009791</v>
      </c>
      <c r="G52" s="50">
        <f t="shared" si="70"/>
        <v>3.1299250933651539</v>
      </c>
      <c r="H52" s="50">
        <f>IFERROR(H47/H50,0)</f>
        <v>3.1089953358318128</v>
      </c>
      <c r="I52" s="50">
        <f>IFERROR(I47/I50,0)</f>
        <v>3.3817400879072177</v>
      </c>
      <c r="J52" s="50">
        <f t="shared" ref="J52:M52" si="71">IFERROR(J47/J50,0)</f>
        <v>5.7637568298509523</v>
      </c>
      <c r="K52" s="50">
        <f t="shared" si="71"/>
        <v>6.259821838783072</v>
      </c>
      <c r="L52" s="50">
        <f t="shared" si="71"/>
        <v>6.2375961097515953</v>
      </c>
      <c r="M52" s="50">
        <f t="shared" si="71"/>
        <v>6.5272667800457986</v>
      </c>
      <c r="N52" s="50">
        <f>N47/DCF!$E$39</f>
        <v>6.9360699610664929</v>
      </c>
      <c r="O52" s="50">
        <f>O47/DCF!$E$39</f>
        <v>7.7081259346765965</v>
      </c>
      <c r="P52" s="50">
        <f>P47/DCF!$E$39</f>
        <v>8.6724871569763753</v>
      </c>
      <c r="Q52" s="50">
        <f>Q47/DCF!$E$39</f>
        <v>9.8326949109306927</v>
      </c>
      <c r="R52" s="50">
        <f>R47/DCF!$E$39</f>
        <v>11.224434780566863</v>
      </c>
    </row>
    <row r="53" spans="1:18" x14ac:dyDescent="0.35">
      <c r="B53" s="45" t="s">
        <v>230</v>
      </c>
      <c r="C53" s="46" t="s">
        <v>43</v>
      </c>
      <c r="D53" s="46">
        <f t="shared" ref="D53:J53" si="72">D52/C52-1</f>
        <v>0.42102681214672244</v>
      </c>
      <c r="E53" s="46">
        <f t="shared" si="72"/>
        <v>-0.10544306629590738</v>
      </c>
      <c r="F53" s="46">
        <f t="shared" si="72"/>
        <v>0.10165730758096347</v>
      </c>
      <c r="G53" s="46">
        <f t="shared" si="72"/>
        <v>0.32734587855751029</v>
      </c>
      <c r="H53" s="46">
        <f t="shared" si="72"/>
        <v>-6.6869835248479781E-3</v>
      </c>
      <c r="I53" s="46">
        <f t="shared" si="72"/>
        <v>8.7727616999602853E-2</v>
      </c>
      <c r="J53" s="46">
        <f t="shared" si="72"/>
        <v>0.70437605493739763</v>
      </c>
      <c r="K53" s="46">
        <f t="shared" ref="K53:M53" si="73">K52/J52-1</f>
        <v>8.6066262608956778E-2</v>
      </c>
      <c r="L53" s="46">
        <f t="shared" si="73"/>
        <v>-3.5505369967202549E-3</v>
      </c>
      <c r="M53" s="46">
        <f t="shared" si="73"/>
        <v>4.6439472065423537E-2</v>
      </c>
      <c r="N53" s="46">
        <f>N52/L52-1</f>
        <v>0.11197805036189079</v>
      </c>
      <c r="O53" s="46">
        <f>O52/N52-1</f>
        <v>0.11131029213139487</v>
      </c>
      <c r="P53" s="46">
        <f t="shared" ref="P53:R53" si="74">P52/O52-1</f>
        <v>0.12510968690345359</v>
      </c>
      <c r="Q53" s="46">
        <f t="shared" si="74"/>
        <v>0.13378027928482039</v>
      </c>
      <c r="R53" s="46">
        <f t="shared" si="74"/>
        <v>0.14154205761932248</v>
      </c>
    </row>
    <row r="54" spans="1:18" x14ac:dyDescent="0.35">
      <c r="K54" s="3"/>
    </row>
    <row r="55" spans="1:18" x14ac:dyDescent="0.35">
      <c r="B55" t="s">
        <v>231</v>
      </c>
      <c r="C55" s="49">
        <f>IFERROR('Data Sheet'!B72,0)</f>
        <v>0.46</v>
      </c>
      <c r="D55" s="49">
        <f>IFERROR('Data Sheet'!C72,0)</f>
        <v>0.5</v>
      </c>
      <c r="E55" s="49">
        <f>IFERROR('Data Sheet'!D72,0)</f>
        <v>0.55000000000000004</v>
      </c>
      <c r="F55" s="49">
        <f>IFERROR('Data Sheet'!E72,0)</f>
        <v>0.6</v>
      </c>
      <c r="G55" s="49">
        <f>IFERROR('Data Sheet'!F72,0)</f>
        <v>0.68</v>
      </c>
      <c r="H55" s="49">
        <f>IFERROR('Data Sheet'!G72,0)</f>
        <v>0.75</v>
      </c>
      <c r="I55" s="49">
        <f>IFERROR('Data Sheet'!H72,0)</f>
        <v>0.8</v>
      </c>
      <c r="J55" s="49">
        <f>IFERROR('Data Sheet'!I72,0)</f>
        <v>0.85</v>
      </c>
      <c r="K55" s="49">
        <f>IFERROR('Data Sheet'!J72,0)</f>
        <v>0.9</v>
      </c>
      <c r="L55" s="49">
        <f>IFERROR('Data Sheet'!K72,0)</f>
        <v>0.94</v>
      </c>
      <c r="M55" s="49">
        <f>IFERROR('Data Sheet'!L72,0)</f>
        <v>0.95</v>
      </c>
      <c r="N55" s="50">
        <v>0.97</v>
      </c>
      <c r="O55" s="50">
        <v>0.98</v>
      </c>
      <c r="P55" s="50">
        <v>0.99</v>
      </c>
      <c r="Q55" s="50">
        <f>P55</f>
        <v>0.99</v>
      </c>
      <c r="R55" s="50">
        <f>Q55</f>
        <v>0.99</v>
      </c>
    </row>
    <row r="56" spans="1:18" x14ac:dyDescent="0.35">
      <c r="B56" t="s">
        <v>232</v>
      </c>
      <c r="C56" s="3">
        <f t="shared" ref="C56:G56" si="75">IFERROR(C55/C52,0)</f>
        <v>0.27318998329536825</v>
      </c>
      <c r="D56" s="3">
        <f t="shared" si="75"/>
        <v>0.20896553919916094</v>
      </c>
      <c r="E56" s="3">
        <f t="shared" si="75"/>
        <v>0.2569563595771226</v>
      </c>
      <c r="F56" s="3">
        <f t="shared" si="75"/>
        <v>0.2544493888440777</v>
      </c>
      <c r="G56" s="3">
        <f t="shared" si="75"/>
        <v>0.21725759553845897</v>
      </c>
      <c r="H56" s="3">
        <f>IFERROR(H55/H52,0)</f>
        <v>0.24123548573910525</v>
      </c>
      <c r="I56" s="3">
        <f>IFERROR(I55/I52,0)</f>
        <v>0.23656460260228876</v>
      </c>
      <c r="J56" s="3">
        <f t="shared" ref="J56:L56" si="76">IFERROR(J55/J52,0)</f>
        <v>0.14747325834389521</v>
      </c>
      <c r="K56" s="3">
        <f t="shared" si="76"/>
        <v>0.14377405989799907</v>
      </c>
      <c r="L56" s="3">
        <f t="shared" si="76"/>
        <v>0.15069908077735963</v>
      </c>
      <c r="M56" s="3">
        <f>IFERROR(M55/M52,0)</f>
        <v>0.14554330809707372</v>
      </c>
      <c r="N56" s="3">
        <f>IFERROR(N55/N52,0)</f>
        <v>0.13984864706451899</v>
      </c>
      <c r="O56" s="3">
        <f t="shared" ref="O56:R56" si="77">IFERROR(O55/O52,0)</f>
        <v>0.12713855589609241</v>
      </c>
      <c r="P56" s="3">
        <f t="shared" si="77"/>
        <v>0.11415410390128028</v>
      </c>
      <c r="Q56" s="3">
        <f t="shared" si="77"/>
        <v>0.10068450297379293</v>
      </c>
      <c r="R56" s="3">
        <f t="shared" si="77"/>
        <v>8.8200432302748197E-2</v>
      </c>
    </row>
    <row r="58" spans="1:18" x14ac:dyDescent="0.35">
      <c r="B58" t="s">
        <v>183</v>
      </c>
      <c r="C58" s="4">
        <f>IFERROR(1-C56,0)</f>
        <v>0.72681001670463175</v>
      </c>
      <c r="D58" s="4">
        <f t="shared" ref="D58:G58" si="78">IFERROR(1-D56,0)</f>
        <v>0.79103446080083906</v>
      </c>
      <c r="E58" s="4">
        <f t="shared" si="78"/>
        <v>0.7430436404228774</v>
      </c>
      <c r="F58" s="4">
        <f t="shared" si="78"/>
        <v>0.74555061115592225</v>
      </c>
      <c r="G58" s="4">
        <f t="shared" si="78"/>
        <v>0.78274240446154097</v>
      </c>
      <c r="H58" s="4">
        <f>IFERROR(1-H56,0)</f>
        <v>0.75876451426089475</v>
      </c>
      <c r="I58" s="4">
        <f>IFERROR(1-I56,0)</f>
        <v>0.76343539739771127</v>
      </c>
      <c r="J58" s="4">
        <f t="shared" ref="J58:L58" si="79">IFERROR(1-J56,0)</f>
        <v>0.85252674165610476</v>
      </c>
      <c r="K58" s="4">
        <f t="shared" si="79"/>
        <v>0.85622594010200093</v>
      </c>
      <c r="L58" s="4">
        <f t="shared" si="79"/>
        <v>0.84930091922264039</v>
      </c>
      <c r="M58" s="4">
        <f>IFERROR(1-M56,0)</f>
        <v>0.85445669190292628</v>
      </c>
      <c r="N58" s="4">
        <f>IFERROR(1-N56,0)</f>
        <v>0.86015135293548095</v>
      </c>
      <c r="O58" s="4">
        <f t="shared" ref="O58:R58" si="80">IFERROR(1-O56,0)</f>
        <v>0.87286144410390754</v>
      </c>
      <c r="P58" s="4">
        <f t="shared" si="80"/>
        <v>0.88584589609871967</v>
      </c>
      <c r="Q58" s="4">
        <f t="shared" si="80"/>
        <v>0.89931549702620706</v>
      </c>
      <c r="R58" s="4">
        <f t="shared" si="80"/>
        <v>0.91179956769725179</v>
      </c>
    </row>
    <row r="59" spans="1:18" x14ac:dyDescent="0.35">
      <c r="C59" s="44"/>
    </row>
    <row r="60" spans="1:18" x14ac:dyDescent="0.35">
      <c r="B60" s="90" t="s">
        <v>544</v>
      </c>
      <c r="I60" s="164"/>
    </row>
    <row r="61" spans="1:18" x14ac:dyDescent="0.35">
      <c r="B61" s="230" t="str">
        <f>"Historical Financial Statement -"&amp;'Data Sheet'!$A$4</f>
        <v>Historical Financial Statement -Apple Inc.</v>
      </c>
      <c r="C61" s="230"/>
      <c r="D61" s="230"/>
      <c r="E61" s="230"/>
      <c r="F61" s="230"/>
      <c r="G61" s="230"/>
      <c r="H61" s="230"/>
      <c r="I61" s="230"/>
      <c r="J61" s="230"/>
      <c r="K61" s="230"/>
      <c r="L61" s="230"/>
      <c r="M61" s="230"/>
      <c r="N61" s="230" t="str">
        <f>"Forecasted Financial Statement " &amp; "-" &amp;'Data Sheet'!$A$4</f>
        <v>Forecasted Financial Statement -Apple Inc.</v>
      </c>
      <c r="O61" s="230"/>
      <c r="P61" s="230"/>
      <c r="Q61" s="230"/>
      <c r="R61" s="230"/>
    </row>
    <row r="62" spans="1:18" x14ac:dyDescent="0.35">
      <c r="B62" s="195" t="s">
        <v>205</v>
      </c>
      <c r="C62" s="196">
        <v>2014</v>
      </c>
      <c r="D62" s="196">
        <f>C62+1</f>
        <v>2015</v>
      </c>
      <c r="E62" s="196">
        <f t="shared" ref="E62" si="81">D62+1</f>
        <v>2016</v>
      </c>
      <c r="F62" s="196">
        <f t="shared" ref="F62" si="82">E62+1</f>
        <v>2017</v>
      </c>
      <c r="G62" s="196">
        <f t="shared" ref="G62" si="83">F62+1</f>
        <v>2018</v>
      </c>
      <c r="H62" s="196">
        <v>2019</v>
      </c>
      <c r="I62" s="196">
        <f>H62+1</f>
        <v>2020</v>
      </c>
      <c r="J62" s="196">
        <f>I62+1</f>
        <v>2021</v>
      </c>
      <c r="K62" s="196">
        <f t="shared" ref="K62" si="84">J62+1</f>
        <v>2022</v>
      </c>
      <c r="L62" s="196">
        <f t="shared" ref="L62" si="85">K62+1</f>
        <v>2023</v>
      </c>
      <c r="M62" s="197" t="s">
        <v>103</v>
      </c>
      <c r="N62" s="198">
        <f>L62+1</f>
        <v>2024</v>
      </c>
      <c r="O62" s="198">
        <f t="shared" ref="O62" si="86">N62+1</f>
        <v>2025</v>
      </c>
      <c r="P62" s="198">
        <f t="shared" ref="P62" si="87">O62+1</f>
        <v>2026</v>
      </c>
      <c r="Q62" s="198">
        <f t="shared" ref="Q62" si="88">P62+1</f>
        <v>2027</v>
      </c>
      <c r="R62" s="198">
        <f t="shared" ref="R62" si="89">Q62+1</f>
        <v>2028</v>
      </c>
    </row>
    <row r="63" spans="1:18" x14ac:dyDescent="0.35">
      <c r="A63" t="s">
        <v>8</v>
      </c>
      <c r="B63" s="235" t="s">
        <v>150</v>
      </c>
      <c r="C63" s="235"/>
      <c r="D63" s="235"/>
      <c r="E63" s="235"/>
      <c r="F63" s="235"/>
      <c r="G63" s="235"/>
      <c r="H63" s="235"/>
      <c r="I63" s="235"/>
      <c r="J63" s="235"/>
      <c r="K63" s="235"/>
      <c r="L63" s="235"/>
      <c r="M63" s="235"/>
      <c r="N63" s="235"/>
      <c r="O63" s="235"/>
      <c r="P63" s="235"/>
      <c r="Q63" s="235"/>
      <c r="R63" s="235"/>
    </row>
    <row r="64" spans="1:18" x14ac:dyDescent="0.35">
      <c r="B64" s="10" t="s">
        <v>153</v>
      </c>
      <c r="C64" s="44">
        <f>IFERROR('Data Sheet'!B130,0)</f>
        <v>13844</v>
      </c>
      <c r="D64" s="44">
        <f>IFERROR('Data Sheet'!C130,0)</f>
        <v>21120</v>
      </c>
      <c r="E64" s="44">
        <f>IFERROR('Data Sheet'!D130,0)</f>
        <v>20484</v>
      </c>
      <c r="F64" s="44">
        <f>IFERROR('Data Sheet'!E130,0)</f>
        <v>20289</v>
      </c>
      <c r="G64" s="44">
        <f>IFERROR('Data Sheet'!F130,0)</f>
        <v>25913</v>
      </c>
      <c r="H64" s="44">
        <f>IFERROR('Data Sheet'!G130,0)+1380</f>
        <v>50224</v>
      </c>
      <c r="I64" s="44">
        <f>IFERROR('Data Sheet'!H130,0)-I69</f>
        <v>39789</v>
      </c>
      <c r="J64" s="44">
        <f>IFERROR('Data Sheet'!I130,0)-J69</f>
        <v>35929</v>
      </c>
      <c r="K64" s="44">
        <f>IFERROR('Data Sheet'!J130,0)-K69</f>
        <v>24977</v>
      </c>
      <c r="L64" s="44">
        <f>IFERROR('Data Sheet'!K130,0)-L69</f>
        <v>30737</v>
      </c>
      <c r="M64" s="44">
        <f>IFERROR('Data Sheet'!L130,0)-M69</f>
        <v>55007</v>
      </c>
      <c r="N64" s="44">
        <f>L64*(1+N9)</f>
        <v>32888.590000000004</v>
      </c>
      <c r="O64" s="44">
        <f>N64*(1+O9)</f>
        <v>36177.449000000008</v>
      </c>
      <c r="P64" s="44">
        <f t="shared" ref="P64:R64" si="90">O64*(1+P9)</f>
        <v>40156.968390000009</v>
      </c>
      <c r="Q64" s="44">
        <f t="shared" si="90"/>
        <v>44775.019754850007</v>
      </c>
      <c r="R64" s="44">
        <f t="shared" si="90"/>
        <v>50148.022125432013</v>
      </c>
    </row>
    <row r="65" spans="2:18" x14ac:dyDescent="0.35">
      <c r="B65" s="10" t="s">
        <v>154</v>
      </c>
      <c r="C65" s="44">
        <f>IFERROR('Data Sheet'!B131,0)</f>
        <v>11233</v>
      </c>
      <c r="D65" s="44">
        <f>IFERROR('Data Sheet'!C131,0)</f>
        <v>20481</v>
      </c>
      <c r="E65" s="44">
        <f>IFERROR('Data Sheet'!D131,0)</f>
        <v>46671</v>
      </c>
      <c r="F65" s="44">
        <f>IFERROR('Data Sheet'!E131,0)</f>
        <v>53892</v>
      </c>
      <c r="G65" s="44">
        <f>IFERROR('Data Sheet'!F131,0)</f>
        <v>40388</v>
      </c>
      <c r="H65" s="44">
        <f>IFERROR('Data Sheet'!G131,0)</f>
        <v>51713</v>
      </c>
      <c r="I65" s="44">
        <f>IFERROR('Data Sheet'!H131,0)</f>
        <v>52927</v>
      </c>
      <c r="J65" s="44">
        <f>IFERROR('Data Sheet'!I131,0)</f>
        <v>27699</v>
      </c>
      <c r="K65" s="44">
        <f>IFERROR('Data Sheet'!J131,0)</f>
        <v>24658</v>
      </c>
      <c r="L65" s="44">
        <f>IFERROR('Data Sheet'!K131,0)</f>
        <v>31590</v>
      </c>
      <c r="M65" s="44">
        <f>IFERROR('Data Sheet'!L131,0)</f>
        <v>32340</v>
      </c>
      <c r="N65" s="44">
        <f>L65*(1+N9)</f>
        <v>33801.300000000003</v>
      </c>
      <c r="O65" s="44">
        <f>N65*(1+O9)</f>
        <v>37181.430000000008</v>
      </c>
      <c r="P65" s="44">
        <f t="shared" ref="P65:R65" si="91">O65*(1+P9)</f>
        <v>41271.387300000009</v>
      </c>
      <c r="Q65" s="44">
        <f t="shared" si="91"/>
        <v>46017.596839500009</v>
      </c>
      <c r="R65" s="44">
        <f t="shared" si="91"/>
        <v>51539.708460240014</v>
      </c>
    </row>
    <row r="66" spans="2:18" x14ac:dyDescent="0.35">
      <c r="B66" s="10" t="s">
        <v>271</v>
      </c>
      <c r="C66" s="44">
        <f>IFERROR('Data Sheet'!B132,0)</f>
        <v>81</v>
      </c>
      <c r="D66" s="44">
        <f>IFERROR('Data Sheet'!C132,0)</f>
        <v>394</v>
      </c>
      <c r="E66" s="44" t="str">
        <f>IFERROR('Data Sheet'!D132,0)</f>
        <v>-</v>
      </c>
      <c r="F66" s="44" t="str">
        <f>IFERROR('Data Sheet'!E132,0)</f>
        <v>-</v>
      </c>
      <c r="G66" s="44" t="str">
        <f>IFERROR('Data Sheet'!F132,0)</f>
        <v>-</v>
      </c>
      <c r="H66" s="44"/>
      <c r="I66" s="44" t="str">
        <f>IFERROR('Data Sheet'!H132,0)</f>
        <v>-</v>
      </c>
      <c r="J66" s="44" t="str">
        <f>IFERROR('Data Sheet'!I132,0)</f>
        <v>-</v>
      </c>
      <c r="K66" s="44" t="str">
        <f>IFERROR('Data Sheet'!J132,0)</f>
        <v>-</v>
      </c>
      <c r="L66" s="44" t="str">
        <f>IFERROR('Data Sheet'!K132,0)</f>
        <v>-</v>
      </c>
      <c r="M66" s="44" t="str">
        <f>IFERROR('Data Sheet'!L132,0)</f>
        <v>-</v>
      </c>
      <c r="N66" s="44" t="s">
        <v>43</v>
      </c>
      <c r="O66" s="44" t="s">
        <v>43</v>
      </c>
      <c r="P66" s="44" t="s">
        <v>43</v>
      </c>
      <c r="Q66" s="44" t="s">
        <v>43</v>
      </c>
      <c r="R66" s="44" t="s">
        <v>43</v>
      </c>
    </row>
    <row r="67" spans="2:18" x14ac:dyDescent="0.35">
      <c r="B67" s="10" t="s">
        <v>156</v>
      </c>
      <c r="C67" s="44">
        <f>IFERROR('Data Sheet'!B135,0)</f>
        <v>17460</v>
      </c>
      <c r="D67" s="44">
        <f>IFERROR('Data Sheet'!C135,0)</f>
        <v>16849</v>
      </c>
      <c r="E67" s="44">
        <f>IFERROR('Data Sheet'!D135,0)</f>
        <v>15754</v>
      </c>
      <c r="F67" s="44">
        <f>IFERROR('Data Sheet'!E135,0)</f>
        <v>17874</v>
      </c>
      <c r="G67" s="44">
        <f>IFERROR('Data Sheet'!F135,0)</f>
        <v>23186</v>
      </c>
      <c r="H67" s="44">
        <f>IFERROR('Data Sheet'!G135,0)</f>
        <v>22926</v>
      </c>
      <c r="I67" s="44">
        <f>IFERROR('Data Sheet'!H135,0)</f>
        <v>16120</v>
      </c>
      <c r="J67" s="44">
        <f>IFERROR('Data Sheet'!I135,0)</f>
        <v>26278</v>
      </c>
      <c r="K67" s="44">
        <f>IFERROR('Data Sheet'!J135,0)</f>
        <v>28184</v>
      </c>
      <c r="L67" s="44">
        <f>IFERROR('Data Sheet'!K135,0)</f>
        <v>29508</v>
      </c>
      <c r="M67" s="44">
        <f>IFERROR('Data Sheet'!L135,0)</f>
        <v>23194</v>
      </c>
      <c r="N67" s="44">
        <f>L67*(1+N9)</f>
        <v>31573.56</v>
      </c>
      <c r="O67" s="44">
        <f>N67*(1+O9)</f>
        <v>34730.916000000005</v>
      </c>
      <c r="P67" s="44">
        <f>O67*(1+P9)</f>
        <v>38551.316760000009</v>
      </c>
      <c r="Q67" s="44">
        <f>P67*(1+Q9)</f>
        <v>42984.718187400009</v>
      </c>
      <c r="R67" s="44">
        <f>Q67*(1+R9)</f>
        <v>48142.884369888015</v>
      </c>
    </row>
    <row r="68" spans="2:18" x14ac:dyDescent="0.35">
      <c r="B68" s="10" t="s">
        <v>157</v>
      </c>
      <c r="C68" s="44">
        <f>IFERROR('Data Sheet'!B136,0)</f>
        <v>9759</v>
      </c>
      <c r="D68" s="44">
        <f>IFERROR('Data Sheet'!C136,0)</f>
        <v>13494</v>
      </c>
      <c r="E68" s="44">
        <f>IFERROR('Data Sheet'!D136,0)</f>
        <v>13545</v>
      </c>
      <c r="F68" s="44">
        <f>IFERROR('Data Sheet'!E136,0)</f>
        <v>17799</v>
      </c>
      <c r="G68" s="44">
        <f>IFERROR('Data Sheet'!F136,0)</f>
        <v>25809</v>
      </c>
      <c r="H68" s="44">
        <f>IFERROR('Data Sheet'!G136,0)</f>
        <v>22878</v>
      </c>
      <c r="I68" s="44">
        <f>IFERROR('Data Sheet'!H136,0)</f>
        <v>21325</v>
      </c>
      <c r="J68" s="44">
        <f>IFERROR('Data Sheet'!I136,0)</f>
        <v>25228</v>
      </c>
      <c r="K68" s="44">
        <f>IFERROR('Data Sheet'!J136,0)</f>
        <v>32748</v>
      </c>
      <c r="L68" s="44">
        <f>IFERROR('Data Sheet'!K136,0)</f>
        <v>31477</v>
      </c>
      <c r="M68" s="44">
        <f>IFERROR('Data Sheet'!L136,0)</f>
        <v>26908</v>
      </c>
      <c r="N68" s="44">
        <f>L68*(1+N9)</f>
        <v>33680.39</v>
      </c>
      <c r="O68" s="44">
        <f>N68*(1+O9)</f>
        <v>37048.429000000004</v>
      </c>
      <c r="P68" s="44">
        <f t="shared" ref="P68:R68" si="92">O68*(1+P9)</f>
        <v>41123.756190000007</v>
      </c>
      <c r="Q68" s="44">
        <f t="shared" si="92"/>
        <v>45852.988151850004</v>
      </c>
      <c r="R68" s="44">
        <f t="shared" si="92"/>
        <v>51355.346730072008</v>
      </c>
    </row>
    <row r="69" spans="2:18" x14ac:dyDescent="0.35">
      <c r="B69" s="10" t="s">
        <v>160</v>
      </c>
      <c r="C69" s="44">
        <f>IFERROR('Data Sheet'!B140,0)</f>
        <v>4318</v>
      </c>
      <c r="D69" s="44" t="str">
        <f>IFERROR('Data Sheet'!C140,0)</f>
        <v>-</v>
      </c>
      <c r="E69" s="44" t="str">
        <f>IFERROR('Data Sheet'!D140,0)</f>
        <v>-</v>
      </c>
      <c r="F69" s="44" t="str">
        <f>IFERROR('Data Sheet'!E140,0)</f>
        <v>-</v>
      </c>
      <c r="G69" s="44" t="str">
        <f>IFERROR('Data Sheet'!F140,0)</f>
        <v>-</v>
      </c>
      <c r="H69" s="44">
        <f>IFERROR('Data Sheet'!G140,0)-1380</f>
        <v>-1357</v>
      </c>
      <c r="I69" s="44">
        <v>-1773</v>
      </c>
      <c r="J69" s="44">
        <v>-989</v>
      </c>
      <c r="K69" s="44">
        <v>-1331</v>
      </c>
      <c r="L69" s="44">
        <v>-772</v>
      </c>
      <c r="M69" s="44">
        <v>-14247</v>
      </c>
      <c r="N69" s="44" t="s">
        <v>43</v>
      </c>
      <c r="O69" s="44" t="s">
        <v>43</v>
      </c>
      <c r="P69" s="44" t="s">
        <v>43</v>
      </c>
      <c r="Q69" s="44" t="s">
        <v>43</v>
      </c>
      <c r="R69" s="44" t="s">
        <v>43</v>
      </c>
    </row>
    <row r="70" spans="2:18" x14ac:dyDescent="0.35">
      <c r="B70" s="10" t="s">
        <v>159</v>
      </c>
      <c r="C70" s="44">
        <f>IFERROR('Data Sheet'!B139,0)</f>
        <v>2111</v>
      </c>
      <c r="D70" s="44">
        <f>IFERROR('Data Sheet'!C139,0)</f>
        <v>2349</v>
      </c>
      <c r="E70" s="44">
        <f>IFERROR('Data Sheet'!D139,0)</f>
        <v>2132</v>
      </c>
      <c r="F70" s="44">
        <f>IFERROR('Data Sheet'!E139,0)</f>
        <v>4855</v>
      </c>
      <c r="G70" s="44">
        <f>IFERROR('Data Sheet'!F139,0)</f>
        <v>3956</v>
      </c>
      <c r="H70" s="44">
        <f>IFERROR('Data Sheet'!G139,0)</f>
        <v>4106</v>
      </c>
      <c r="I70" s="44">
        <f>IFERROR('Data Sheet'!H139,0)</f>
        <v>4061</v>
      </c>
      <c r="J70" s="44">
        <f>IFERROR('Data Sheet'!I139,0)</f>
        <v>6580</v>
      </c>
      <c r="K70" s="44">
        <f>IFERROR('Data Sheet'!J139,0)</f>
        <v>4946</v>
      </c>
      <c r="L70" s="44">
        <f>IFERROR('Data Sheet'!K139,0)</f>
        <v>6331</v>
      </c>
      <c r="M70" s="44">
        <f>IFERROR('Data Sheet'!L139,0)</f>
        <v>6511</v>
      </c>
      <c r="N70" s="44">
        <f>L70*(1+(N11/L11-1))</f>
        <v>6717.3188782942707</v>
      </c>
      <c r="O70" s="44">
        <f>N70*(1+(O11/N11-1))</f>
        <v>7389.0507661236998</v>
      </c>
      <c r="P70" s="44">
        <v>6100</v>
      </c>
      <c r="Q70" s="44">
        <v>6256</v>
      </c>
      <c r="R70" s="44">
        <f>Q70*(1+(R11/Q11-1))</f>
        <v>7006.72</v>
      </c>
    </row>
    <row r="71" spans="2:18" x14ac:dyDescent="0.35">
      <c r="B71" s="10" t="s">
        <v>161</v>
      </c>
      <c r="C71" s="44">
        <f>IFERROR('Data Sheet'!B141,0)</f>
        <v>9725</v>
      </c>
      <c r="D71" s="44">
        <f>IFERROR('Data Sheet'!C141,0)</f>
        <v>14691</v>
      </c>
      <c r="E71" s="44">
        <f>IFERROR('Data Sheet'!D141,0)</f>
        <v>8283</v>
      </c>
      <c r="F71" s="44">
        <f>IFERROR('Data Sheet'!E141,0)</f>
        <v>13936</v>
      </c>
      <c r="G71" s="44">
        <f>IFERROR('Data Sheet'!F141,0)</f>
        <v>12087</v>
      </c>
      <c r="H71" s="44">
        <f>IFERROR('Data Sheet'!G141,0)</f>
        <v>12329</v>
      </c>
      <c r="I71" s="44">
        <f>IFERROR('Data Sheet'!H141,0)</f>
        <v>11264</v>
      </c>
      <c r="J71" s="44">
        <f>IFERROR('Data Sheet'!I141,0)</f>
        <v>14111</v>
      </c>
      <c r="K71" s="44">
        <f>IFERROR('Data Sheet'!J141,0)</f>
        <v>21223</v>
      </c>
      <c r="L71" s="44">
        <f>IFERROR('Data Sheet'!K141,0)</f>
        <v>14695</v>
      </c>
      <c r="M71" s="44">
        <f>IFERROR('Data Sheet'!L141,0)</f>
        <v>13979</v>
      </c>
      <c r="N71" s="44">
        <f>L71*(1+N9)</f>
        <v>15723.650000000001</v>
      </c>
      <c r="O71" s="44">
        <f>N71*(1+O9)</f>
        <v>17296.015000000003</v>
      </c>
      <c r="P71" s="44">
        <f>O71*(1+P9)</f>
        <v>19198.576650000006</v>
      </c>
      <c r="Q71" s="44">
        <f>P71*(1+Q9)</f>
        <v>21406.412964750009</v>
      </c>
      <c r="R71" s="44">
        <f>Q71*(1+R9)</f>
        <v>23975.182520520011</v>
      </c>
    </row>
    <row r="72" spans="2:18" x14ac:dyDescent="0.35">
      <c r="B72" s="224" t="s">
        <v>233</v>
      </c>
      <c r="C72" s="53">
        <f t="shared" ref="C72:G72" si="93">IFERROR(SUM(C64:C71),0)</f>
        <v>68531</v>
      </c>
      <c r="D72" s="53">
        <f t="shared" si="93"/>
        <v>89378</v>
      </c>
      <c r="E72" s="53">
        <f t="shared" si="93"/>
        <v>106869</v>
      </c>
      <c r="F72" s="53">
        <f t="shared" si="93"/>
        <v>128645</v>
      </c>
      <c r="G72" s="53">
        <f t="shared" si="93"/>
        <v>131339</v>
      </c>
      <c r="H72" s="53">
        <f>IFERROR(SUM(H64:H71),0)</f>
        <v>162819</v>
      </c>
      <c r="I72" s="53">
        <f>IFERROR(SUM(I64:I71),0)</f>
        <v>143713</v>
      </c>
      <c r="J72" s="53">
        <f t="shared" ref="J72:L72" si="94">IFERROR(SUM(J64:J71),0)</f>
        <v>134836</v>
      </c>
      <c r="K72" s="53">
        <f t="shared" si="94"/>
        <v>135405</v>
      </c>
      <c r="L72" s="53">
        <f t="shared" si="94"/>
        <v>143566</v>
      </c>
      <c r="M72" s="53">
        <f t="shared" ref="M72:R72" si="95">IFERROR(SUM(M64:M71),0)</f>
        <v>143692</v>
      </c>
      <c r="N72" s="53">
        <f t="shared" si="95"/>
        <v>154384.80887829428</v>
      </c>
      <c r="O72" s="53">
        <f t="shared" si="95"/>
        <v>169823.28976612372</v>
      </c>
      <c r="P72" s="53">
        <f t="shared" si="95"/>
        <v>186402.00529000006</v>
      </c>
      <c r="Q72" s="53">
        <f t="shared" si="95"/>
        <v>207292.73589835007</v>
      </c>
      <c r="R72" s="53">
        <f t="shared" si="95"/>
        <v>232167.86420615207</v>
      </c>
    </row>
    <row r="73" spans="2:18" x14ac:dyDescent="0.35">
      <c r="B73" s="10"/>
      <c r="L73" s="44"/>
    </row>
    <row r="74" spans="2:18" x14ac:dyDescent="0.35">
      <c r="B74" s="10" t="s">
        <v>163</v>
      </c>
      <c r="C74" s="44">
        <f>IFERROR('Data Sheet'!B144,0)</f>
        <v>39015</v>
      </c>
      <c r="D74" s="44">
        <f>IFERROR('Data Sheet'!C144,0)</f>
        <v>49257</v>
      </c>
      <c r="E74" s="44">
        <f>IFERROR('Data Sheet'!D144,0)</f>
        <v>61245</v>
      </c>
      <c r="F74" s="44">
        <f>IFERROR('Data Sheet'!E144,0)</f>
        <v>75076</v>
      </c>
      <c r="G74" s="44">
        <f>IFERROR('Data Sheet'!F144,0)</f>
        <v>90403</v>
      </c>
      <c r="H74" s="44">
        <f>IFERROR('Data Sheet'!G144,0)</f>
        <v>95957</v>
      </c>
      <c r="I74" s="44">
        <f>IFERROR('Data Sheet'!H144,0)</f>
        <v>112096</v>
      </c>
      <c r="J74" s="44">
        <f>IFERROR('Data Sheet'!I144,0)</f>
        <v>119810</v>
      </c>
      <c r="K74" s="44">
        <f>IFERROR('Data Sheet'!J144,0)</f>
        <v>124874</v>
      </c>
      <c r="L74" s="44">
        <f>IFERROR('Data Sheet'!K144,0)</f>
        <v>125260</v>
      </c>
      <c r="M74" s="44">
        <f>IFERROR('Data Sheet'!L144,0)</f>
        <v>116176</v>
      </c>
      <c r="N74" s="44">
        <f>L74*(1+N9+3%)</f>
        <v>137786</v>
      </c>
      <c r="O74" s="44">
        <f>N74*(1+O9)</f>
        <v>151564.6</v>
      </c>
      <c r="P74" s="44">
        <f>O74*(1+P9)</f>
        <v>168236.70600000003</v>
      </c>
      <c r="Q74" s="44">
        <f>P74*(1+Q9)</f>
        <v>187583.92719000005</v>
      </c>
      <c r="R74" s="44">
        <f>Q74*(1+R9)</f>
        <v>210093.99845280006</v>
      </c>
    </row>
    <row r="75" spans="2:18" x14ac:dyDescent="0.35">
      <c r="B75" s="10" t="s">
        <v>164</v>
      </c>
      <c r="C75" s="44">
        <f>IFERROR('Data Sheet'!B145,0)</f>
        <v>-18391</v>
      </c>
      <c r="D75" s="44">
        <f>IFERROR('Data Sheet'!C145,0)</f>
        <v>-26786</v>
      </c>
      <c r="E75" s="44">
        <f>IFERROR('Data Sheet'!D145,0)</f>
        <v>-34235</v>
      </c>
      <c r="F75" s="44">
        <f>IFERROR('Data Sheet'!E145,0)</f>
        <v>-41293</v>
      </c>
      <c r="G75" s="44">
        <f>IFERROR('Data Sheet'!F145,0)</f>
        <v>-49099</v>
      </c>
      <c r="H75" s="44">
        <f>IFERROR('Data Sheet'!G145,0)</f>
        <v>-58579</v>
      </c>
      <c r="I75" s="44">
        <f>IFERROR('Data Sheet'!H145,0)</f>
        <v>-66760</v>
      </c>
      <c r="J75" s="44">
        <f>IFERROR('Data Sheet'!I145,0)</f>
        <v>-70283</v>
      </c>
      <c r="K75" s="44">
        <f>IFERROR('Data Sheet'!J145,0)</f>
        <v>-72340</v>
      </c>
      <c r="L75" s="44">
        <f>IFERROR('Data Sheet'!K145,0)</f>
        <v>-70884</v>
      </c>
      <c r="M75" s="44">
        <f>IFERROR('Data Sheet'!L145,0)</f>
        <v>-72510</v>
      </c>
      <c r="N75" s="44">
        <f>L75*(1+N39)</f>
        <v>-73049.999646684417</v>
      </c>
      <c r="O75" s="44">
        <f>N75*(1+O39)</f>
        <v>-75136.495807306099</v>
      </c>
      <c r="P75" s="44">
        <f t="shared" ref="P75:R75" si="96">O75*(1+P39)</f>
        <v>-77122.948802990039</v>
      </c>
      <c r="Q75" s="44">
        <f t="shared" si="96"/>
        <v>-79000.446359861075</v>
      </c>
      <c r="R75" s="44">
        <f t="shared" si="96"/>
        <v>-80762.246931602116</v>
      </c>
    </row>
    <row r="76" spans="2:18" x14ac:dyDescent="0.35">
      <c r="B76" s="10" t="s">
        <v>237</v>
      </c>
      <c r="C76" s="44">
        <f t="shared" ref="C76:G76" si="97">IFERROR(SUM(C74:C75),0)</f>
        <v>20624</v>
      </c>
      <c r="D76" s="44">
        <f t="shared" si="97"/>
        <v>22471</v>
      </c>
      <c r="E76" s="44">
        <f t="shared" si="97"/>
        <v>27010</v>
      </c>
      <c r="F76" s="44">
        <f t="shared" si="97"/>
        <v>33783</v>
      </c>
      <c r="G76" s="44">
        <f t="shared" si="97"/>
        <v>41304</v>
      </c>
      <c r="H76" s="44">
        <f>IFERROR(SUM(H74:H75),0)</f>
        <v>37378</v>
      </c>
      <c r="I76" s="44">
        <f>IFERROR(SUM(I74:I75),0)</f>
        <v>45336</v>
      </c>
      <c r="J76" s="44">
        <f t="shared" ref="J76:M76" si="98">IFERROR(SUM(J74:J75),0)</f>
        <v>49527</v>
      </c>
      <c r="K76" s="44">
        <f t="shared" si="98"/>
        <v>52534</v>
      </c>
      <c r="L76" s="44">
        <f t="shared" si="98"/>
        <v>54376</v>
      </c>
      <c r="M76" s="44">
        <f t="shared" si="98"/>
        <v>43666</v>
      </c>
      <c r="N76" s="44">
        <f>SUM(N74:N75)</f>
        <v>64736.000353315583</v>
      </c>
      <c r="O76" s="44">
        <f t="shared" ref="O76:R76" si="99">SUM(O74:O75)</f>
        <v>76428.104192693907</v>
      </c>
      <c r="P76" s="44">
        <f t="shared" si="99"/>
        <v>91113.757197009996</v>
      </c>
      <c r="Q76" s="44">
        <f t="shared" si="99"/>
        <v>108583.48083013897</v>
      </c>
      <c r="R76" s="44">
        <f t="shared" si="99"/>
        <v>129331.75152119795</v>
      </c>
    </row>
    <row r="77" spans="2:18" x14ac:dyDescent="0.35">
      <c r="B77" s="10" t="s">
        <v>166</v>
      </c>
      <c r="C77" s="44">
        <f>IFERROR('Data Sheet'!B148,0)</f>
        <v>130162</v>
      </c>
      <c r="D77" s="44">
        <f>IFERROR('Data Sheet'!C148,0)</f>
        <v>164065</v>
      </c>
      <c r="E77" s="44">
        <f>IFERROR('Data Sheet'!D148,0)</f>
        <v>170430</v>
      </c>
      <c r="F77" s="44">
        <f>IFERROR('Data Sheet'!E148,0)</f>
        <v>194714</v>
      </c>
      <c r="G77" s="44">
        <f>IFERROR('Data Sheet'!F148,0)</f>
        <v>170799</v>
      </c>
      <c r="H77" s="44">
        <f>IFERROR('Data Sheet'!G148,0)</f>
        <v>105341</v>
      </c>
      <c r="I77" s="44">
        <f>IFERROR('Data Sheet'!H148,0)</f>
        <v>100887</v>
      </c>
      <c r="J77" s="44">
        <f>IFERROR('Data Sheet'!I148,0)</f>
        <v>127877</v>
      </c>
      <c r="K77" s="44">
        <f>IFERROR('Data Sheet'!J148,0)</f>
        <v>120805</v>
      </c>
      <c r="L77" s="44">
        <f>IFERROR('Data Sheet'!K148,0)</f>
        <v>100544</v>
      </c>
      <c r="M77" s="44">
        <f>IFERROR('Data Sheet'!L148,0)</f>
        <v>99475</v>
      </c>
      <c r="N77" s="44">
        <f>L77*(1+N9)</f>
        <v>107582.08</v>
      </c>
      <c r="O77" s="44">
        <f>N77*(1+O9)</f>
        <v>118340.28800000002</v>
      </c>
      <c r="P77" s="44">
        <f t="shared" ref="P77:R77" si="100">O77*(1+P9)</f>
        <v>131357.71968000004</v>
      </c>
      <c r="Q77" s="44">
        <f t="shared" si="100"/>
        <v>146463.85744320005</v>
      </c>
      <c r="R77" s="44">
        <f t="shared" si="100"/>
        <v>164039.52033638407</v>
      </c>
    </row>
    <row r="78" spans="2:18" x14ac:dyDescent="0.35">
      <c r="B78" s="10" t="s">
        <v>272</v>
      </c>
      <c r="C78" s="44">
        <f>IFERROR('Data Sheet'!B149,0)</f>
        <v>4616</v>
      </c>
      <c r="D78" s="44">
        <f>IFERROR('Data Sheet'!C149,0)</f>
        <v>5116</v>
      </c>
      <c r="E78" s="44">
        <f>IFERROR('Data Sheet'!D149,0)</f>
        <v>5414</v>
      </c>
      <c r="F78" s="44" t="str">
        <f>IFERROR('Data Sheet'!E149,0)</f>
        <v>-</v>
      </c>
      <c r="G78" s="44" t="str">
        <f>IFERROR('Data Sheet'!F149,0)</f>
        <v>-</v>
      </c>
      <c r="H78" s="44" t="str">
        <f>IFERROR('Data Sheet'!G149,0)</f>
        <v>-</v>
      </c>
      <c r="I78" s="44" t="str">
        <f>IFERROR('Data Sheet'!H149,0)</f>
        <v>-</v>
      </c>
      <c r="J78" s="44" t="str">
        <f>IFERROR('Data Sheet'!I149,0)</f>
        <v>-</v>
      </c>
      <c r="K78" s="44" t="str">
        <f>IFERROR('Data Sheet'!J149,0)</f>
        <v>-</v>
      </c>
      <c r="L78" s="44" t="str">
        <f>IFERROR('Data Sheet'!K149,0)</f>
        <v>-</v>
      </c>
      <c r="M78" s="44" t="str">
        <f>IFERROR('Data Sheet'!L149,0)</f>
        <v>-</v>
      </c>
      <c r="N78" s="44" t="s">
        <v>43</v>
      </c>
      <c r="O78" s="44" t="s">
        <v>43</v>
      </c>
      <c r="P78" s="44" t="s">
        <v>43</v>
      </c>
      <c r="Q78" s="44" t="s">
        <v>43</v>
      </c>
      <c r="R78" s="44" t="s">
        <v>43</v>
      </c>
    </row>
    <row r="79" spans="2:18" x14ac:dyDescent="0.35">
      <c r="B79" s="10" t="s">
        <v>273</v>
      </c>
      <c r="C79" s="44">
        <f>IFERROR('Data Sheet'!B150,0)</f>
        <v>4142</v>
      </c>
      <c r="D79" s="44">
        <f>IFERROR('Data Sheet'!C150,0)</f>
        <v>3893</v>
      </c>
      <c r="E79" s="44">
        <f>IFERROR('Data Sheet'!D150,0)</f>
        <v>3206</v>
      </c>
      <c r="F79" s="44" t="str">
        <f>IFERROR('Data Sheet'!E150,0)</f>
        <v>-</v>
      </c>
      <c r="G79" s="44" t="str">
        <f>IFERROR('Data Sheet'!F150,0)</f>
        <v>-</v>
      </c>
      <c r="H79" s="44" t="str">
        <f>IFERROR('Data Sheet'!G150,0)</f>
        <v>-</v>
      </c>
      <c r="I79" s="44" t="str">
        <f>IFERROR('Data Sheet'!H150,0)</f>
        <v>-</v>
      </c>
      <c r="J79" s="44" t="str">
        <f>IFERROR('Data Sheet'!I150,0)</f>
        <v>-</v>
      </c>
      <c r="K79" s="44" t="str">
        <f>IFERROR('Data Sheet'!J150,0)</f>
        <v>-</v>
      </c>
      <c r="L79" s="44" t="str">
        <f>IFERROR('Data Sheet'!K150,0)</f>
        <v>-</v>
      </c>
      <c r="M79" s="44" t="str">
        <f>IFERROR('Data Sheet'!L150,0)</f>
        <v>-</v>
      </c>
      <c r="N79" s="44" t="s">
        <v>43</v>
      </c>
      <c r="O79" s="44" t="s">
        <v>43</v>
      </c>
      <c r="P79" s="44" t="s">
        <v>43</v>
      </c>
      <c r="Q79" s="44" t="s">
        <v>43</v>
      </c>
      <c r="R79" s="44" t="s">
        <v>43</v>
      </c>
    </row>
    <row r="80" spans="2:18" x14ac:dyDescent="0.35">
      <c r="B80" s="10" t="s">
        <v>167</v>
      </c>
      <c r="C80" s="44">
        <f>IFERROR('Data Sheet'!B151,0)</f>
        <v>3764</v>
      </c>
      <c r="D80" s="44">
        <f>IFERROR('Data Sheet'!C151,0)</f>
        <v>5422</v>
      </c>
      <c r="E80" s="44">
        <f>IFERROR('Data Sheet'!D151,0)</f>
        <v>8757</v>
      </c>
      <c r="F80" s="44">
        <f>IFERROR('Data Sheet'!E151,0)</f>
        <v>18177</v>
      </c>
      <c r="G80" s="44">
        <f>IFERROR('Data Sheet'!F151,0)</f>
        <v>22283</v>
      </c>
      <c r="H80" s="44">
        <f>IFERROR('Data Sheet'!G151,0)</f>
        <v>32978</v>
      </c>
      <c r="I80" s="44">
        <f>IFERROR('Data Sheet'!H151,0)</f>
        <v>33952</v>
      </c>
      <c r="J80" s="44">
        <f>IFERROR('Data Sheet'!I151,0)</f>
        <v>38762</v>
      </c>
      <c r="K80" s="44">
        <f>IFERROR('Data Sheet'!J151,0)</f>
        <v>44011</v>
      </c>
      <c r="L80" s="44">
        <f>IFERROR('Data Sheet'!K151,0)</f>
        <v>54097</v>
      </c>
      <c r="M80" s="44">
        <f>IFERROR('Data Sheet'!L151,0)</f>
        <v>66681</v>
      </c>
      <c r="N80" s="44">
        <f>L80*(1+N9)</f>
        <v>57883.79</v>
      </c>
      <c r="O80" s="44">
        <f>N80*(1+O9)</f>
        <v>63672.169000000009</v>
      </c>
      <c r="P80" s="44">
        <f>O80*(1+P9)</f>
        <v>70676.107590000014</v>
      </c>
      <c r="Q80" s="44">
        <f>P80*(1+Q9)</f>
        <v>78803.859962850009</v>
      </c>
      <c r="R80" s="44">
        <f>Q80*(1+R9)</f>
        <v>88260.323158392013</v>
      </c>
    </row>
    <row r="81" spans="2:18" x14ac:dyDescent="0.35">
      <c r="B81" s="225" t="s">
        <v>234</v>
      </c>
      <c r="C81" s="53">
        <f t="shared" ref="C81:G81" si="101">IFERROR(SUM(C76:C80),0)</f>
        <v>163308</v>
      </c>
      <c r="D81" s="53">
        <f t="shared" si="101"/>
        <v>200967</v>
      </c>
      <c r="E81" s="53">
        <f t="shared" si="101"/>
        <v>214817</v>
      </c>
      <c r="F81" s="53">
        <f t="shared" si="101"/>
        <v>246674</v>
      </c>
      <c r="G81" s="53">
        <f t="shared" si="101"/>
        <v>234386</v>
      </c>
      <c r="H81" s="53">
        <f>IFERROR(SUM(H76:H80),0)</f>
        <v>175697</v>
      </c>
      <c r="I81" s="53">
        <f>IFERROR(SUM(I76:I80),0)</f>
        <v>180175</v>
      </c>
      <c r="J81" s="53">
        <f t="shared" ref="J81:K81" si="102">IFERROR(SUM(J76:J80),0)</f>
        <v>216166</v>
      </c>
      <c r="K81" s="53">
        <f t="shared" si="102"/>
        <v>217350</v>
      </c>
      <c r="L81" s="53">
        <f t="shared" ref="L81:Q81" si="103">IFERROR(SUM(L76:L80),0)</f>
        <v>209017</v>
      </c>
      <c r="M81" s="53">
        <f t="shared" si="103"/>
        <v>209822</v>
      </c>
      <c r="N81" s="53">
        <f t="shared" si="103"/>
        <v>230201.87035331558</v>
      </c>
      <c r="O81" s="53">
        <f t="shared" si="103"/>
        <v>258440.56119269395</v>
      </c>
      <c r="P81" s="53">
        <f t="shared" si="103"/>
        <v>293147.58446701005</v>
      </c>
      <c r="Q81" s="53">
        <f t="shared" si="103"/>
        <v>333851.19823618903</v>
      </c>
      <c r="R81" s="53">
        <f>IFERROR(SUM(R76:R80),0)</f>
        <v>381631.59501597402</v>
      </c>
    </row>
    <row r="82" spans="2:18" x14ac:dyDescent="0.35">
      <c r="B82" s="225" t="s">
        <v>168</v>
      </c>
      <c r="C82" s="53">
        <f t="shared" ref="C82:G82" si="104">IFERROR(C81+C72,0)</f>
        <v>231839</v>
      </c>
      <c r="D82" s="53">
        <f t="shared" si="104"/>
        <v>290345</v>
      </c>
      <c r="E82" s="53">
        <f t="shared" si="104"/>
        <v>321686</v>
      </c>
      <c r="F82" s="53">
        <f t="shared" si="104"/>
        <v>375319</v>
      </c>
      <c r="G82" s="53">
        <f t="shared" si="104"/>
        <v>365725</v>
      </c>
      <c r="H82" s="53">
        <f>IFERROR(H81+H72,0)</f>
        <v>338516</v>
      </c>
      <c r="I82" s="53">
        <f>IFERROR(I81+I72,0)</f>
        <v>323888</v>
      </c>
      <c r="J82" s="53">
        <f t="shared" ref="J82:L82" si="105">IFERROR(J81+J72,0)</f>
        <v>351002</v>
      </c>
      <c r="K82" s="53">
        <f t="shared" si="105"/>
        <v>352755</v>
      </c>
      <c r="L82" s="53">
        <f t="shared" si="105"/>
        <v>352583</v>
      </c>
      <c r="M82" s="53">
        <f t="shared" ref="M82:R82" si="106">IFERROR(M81+M72,0)</f>
        <v>353514</v>
      </c>
      <c r="N82" s="53">
        <f t="shared" si="106"/>
        <v>384586.67923160986</v>
      </c>
      <c r="O82" s="53">
        <f t="shared" si="106"/>
        <v>428263.85095881764</v>
      </c>
      <c r="P82" s="53">
        <f t="shared" si="106"/>
        <v>479549.58975701011</v>
      </c>
      <c r="Q82" s="53">
        <f t="shared" si="106"/>
        <v>541143.9341345391</v>
      </c>
      <c r="R82" s="53">
        <f t="shared" si="106"/>
        <v>613799.45922212605</v>
      </c>
    </row>
    <row r="83" spans="2:18" x14ac:dyDescent="0.35">
      <c r="B83" s="10"/>
    </row>
    <row r="84" spans="2:18" x14ac:dyDescent="0.35">
      <c r="B84" s="10" t="s">
        <v>170</v>
      </c>
      <c r="C84" s="44">
        <f>IFERROR('Data Sheet'!B155,0)</f>
        <v>30196</v>
      </c>
      <c r="D84" s="44">
        <f>IFERROR('Data Sheet'!C155,0)</f>
        <v>35490</v>
      </c>
      <c r="E84" s="44">
        <f>IFERROR('Data Sheet'!D155,0)</f>
        <v>37294</v>
      </c>
      <c r="F84" s="44">
        <f>IFERROR('Data Sheet'!E155,0)</f>
        <v>44242</v>
      </c>
      <c r="G84" s="44">
        <f>IFERROR('Data Sheet'!F155,0)</f>
        <v>55888</v>
      </c>
      <c r="H84" s="44">
        <f>IFERROR('Data Sheet'!G155,0)</f>
        <v>46236</v>
      </c>
      <c r="I84" s="44">
        <f>IFERROR('Data Sheet'!H155,0)</f>
        <v>42296</v>
      </c>
      <c r="J84" s="44">
        <f>IFERROR('Data Sheet'!I155,0)</f>
        <v>54763</v>
      </c>
      <c r="K84" s="44">
        <f>IFERROR('Data Sheet'!J155,0)</f>
        <v>64115</v>
      </c>
      <c r="L84" s="44">
        <f>IFERROR('Data Sheet'!K155,0)</f>
        <v>62611</v>
      </c>
      <c r="M84" s="44">
        <f>IFERROR('Data Sheet'!L155,0)</f>
        <v>58146</v>
      </c>
      <c r="N84" s="44">
        <f>L84*(1+(N11/L11-1))</f>
        <v>66431.535664015566</v>
      </c>
      <c r="O84" s="44">
        <f>N84*(1+(O11/N11-1))</f>
        <v>73074.689230417149</v>
      </c>
      <c r="P84" s="44">
        <f t="shared" ref="P84:R84" si="107">O84*(1+(P11/O11-1))</f>
        <v>81112.905045763036</v>
      </c>
      <c r="Q84" s="44">
        <f t="shared" si="107"/>
        <v>90440.889126025781</v>
      </c>
      <c r="R84" s="44">
        <f t="shared" si="107"/>
        <v>101293.79582114889</v>
      </c>
    </row>
    <row r="85" spans="2:18" x14ac:dyDescent="0.35">
      <c r="B85" s="10" t="s">
        <v>171</v>
      </c>
      <c r="C85" s="44">
        <f>IFERROR('Data Sheet'!B156,0)</f>
        <v>18372</v>
      </c>
      <c r="D85" s="44">
        <f>IFERROR('Data Sheet'!C156,0)</f>
        <v>23169</v>
      </c>
      <c r="E85" s="44">
        <f>IFERROR('Data Sheet'!D156,0)</f>
        <v>21864</v>
      </c>
      <c r="F85" s="44" t="str">
        <f>IFERROR('Data Sheet'!E156,0)</f>
        <v>-</v>
      </c>
      <c r="G85" s="44" t="str">
        <f>IFERROR('Data Sheet'!F156,0)</f>
        <v>-</v>
      </c>
      <c r="H85" s="44">
        <f>IFERROR('Data Sheet'!G156,0)</f>
        <v>5980</v>
      </c>
      <c r="I85" s="44">
        <f>IFERROR('Data Sheet'!H156,0)</f>
        <v>4996</v>
      </c>
      <c r="J85" s="44">
        <f>IFERROR('Data Sheet'!I156,0)</f>
        <v>6000</v>
      </c>
      <c r="K85" s="44">
        <f>IFERROR('Data Sheet'!J156,0)</f>
        <v>9982</v>
      </c>
      <c r="L85" s="44">
        <f>IFERROR('Data Sheet'!K156,0)</f>
        <v>5985</v>
      </c>
      <c r="M85" s="44">
        <f>IFERROR('Data Sheet'!L156,0)</f>
        <v>1998</v>
      </c>
      <c r="N85" s="44">
        <f>M85</f>
        <v>1998</v>
      </c>
      <c r="O85" s="44">
        <f>N85</f>
        <v>1998</v>
      </c>
      <c r="P85" s="44">
        <f t="shared" ref="P85:R85" si="108">O85</f>
        <v>1998</v>
      </c>
      <c r="Q85" s="44">
        <f t="shared" si="108"/>
        <v>1998</v>
      </c>
      <c r="R85" s="44">
        <f t="shared" si="108"/>
        <v>1998</v>
      </c>
    </row>
    <row r="86" spans="2:18" x14ac:dyDescent="0.35">
      <c r="B86" s="10" t="s">
        <v>172</v>
      </c>
      <c r="C86" s="44">
        <f>IFERROR('Data Sheet'!B157,0)</f>
        <v>6308</v>
      </c>
      <c r="D86" s="44">
        <f>IFERROR('Data Sheet'!C157,0)</f>
        <v>8499</v>
      </c>
      <c r="E86" s="44">
        <f>IFERROR('Data Sheet'!D157,0)</f>
        <v>8105</v>
      </c>
      <c r="F86" s="44">
        <f>IFERROR('Data Sheet'!E157,0)</f>
        <v>11977</v>
      </c>
      <c r="G86" s="44">
        <f>IFERROR('Data Sheet'!F157,0)</f>
        <v>11964</v>
      </c>
      <c r="H86" s="44">
        <f>IFERROR('Data Sheet'!G157,0)</f>
        <v>10260</v>
      </c>
      <c r="I86" s="44">
        <f>IFERROR('Data Sheet'!H157,0)</f>
        <v>8773</v>
      </c>
      <c r="J86" s="44">
        <f>IFERROR('Data Sheet'!I157,0)</f>
        <v>9613</v>
      </c>
      <c r="K86" s="44">
        <f>IFERROR('Data Sheet'!J157,0)</f>
        <v>11128</v>
      </c>
      <c r="L86" s="44">
        <f>IFERROR('Data Sheet'!K157,0)</f>
        <v>9822</v>
      </c>
      <c r="M86" s="44">
        <f>IFERROR('Data Sheet'!L157,0)</f>
        <v>10954</v>
      </c>
      <c r="N86" s="44">
        <f>L86</f>
        <v>9822</v>
      </c>
      <c r="O86" s="44">
        <f>N86</f>
        <v>9822</v>
      </c>
      <c r="P86" s="44">
        <f t="shared" ref="P86:R86" si="109">O86</f>
        <v>9822</v>
      </c>
      <c r="Q86" s="44">
        <f t="shared" si="109"/>
        <v>9822</v>
      </c>
      <c r="R86" s="44">
        <f t="shared" si="109"/>
        <v>9822</v>
      </c>
    </row>
    <row r="87" spans="2:18" x14ac:dyDescent="0.35">
      <c r="B87" s="10" t="s">
        <v>173</v>
      </c>
      <c r="C87" s="44" t="str">
        <f>IFERROR('Data Sheet'!B158,0)</f>
        <v>-</v>
      </c>
      <c r="D87" s="44">
        <f>IFERROR('Data Sheet'!C158,0)</f>
        <v>2513</v>
      </c>
      <c r="E87" s="44">
        <f>IFERROR('Data Sheet'!D158,0)</f>
        <v>3500</v>
      </c>
      <c r="F87" s="44">
        <f>IFERROR('Data Sheet'!E158,0)</f>
        <v>6496</v>
      </c>
      <c r="G87" s="44">
        <f>IFERROR('Data Sheet'!F158,0)</f>
        <v>8784</v>
      </c>
      <c r="H87" s="44" t="str">
        <f>IFERROR('Data Sheet'!G158,0)</f>
        <v>-</v>
      </c>
      <c r="I87" s="44">
        <f>IFERROR('Data Sheet'!H158,0)</f>
        <v>1460</v>
      </c>
      <c r="J87" s="44">
        <f>IFERROR('Data Sheet'!I158,0)</f>
        <v>1528</v>
      </c>
      <c r="K87" s="44">
        <f>IFERROR('Data Sheet'!J158,0)</f>
        <v>1663</v>
      </c>
      <c r="L87" s="44">
        <f>IFERROR('Data Sheet'!K158,0)</f>
        <v>1575</v>
      </c>
      <c r="M87" s="44">
        <v>0</v>
      </c>
      <c r="N87" s="44">
        <f>L87</f>
        <v>1575</v>
      </c>
      <c r="O87" s="44">
        <f>N87</f>
        <v>1575</v>
      </c>
      <c r="P87" s="44">
        <f t="shared" ref="P87:Q88" si="110">O87</f>
        <v>1575</v>
      </c>
      <c r="Q87" s="44">
        <f t="shared" si="110"/>
        <v>1575</v>
      </c>
      <c r="R87" s="44">
        <f>Q87</f>
        <v>1575</v>
      </c>
    </row>
    <row r="88" spans="2:18" x14ac:dyDescent="0.35">
      <c r="B88" s="10" t="s">
        <v>174</v>
      </c>
      <c r="C88" s="44">
        <f>IFERROR('Data Sheet'!B159,0)</f>
        <v>8491</v>
      </c>
      <c r="D88" s="44">
        <f>IFERROR('Data Sheet'!C159,0)</f>
        <v>8940</v>
      </c>
      <c r="E88" s="44">
        <f>IFERROR('Data Sheet'!D159,0)</f>
        <v>8080</v>
      </c>
      <c r="F88" s="44">
        <f>IFERROR('Data Sheet'!E159,0)</f>
        <v>7548</v>
      </c>
      <c r="G88" s="44">
        <f>IFERROR('Data Sheet'!F159,0)</f>
        <v>5966</v>
      </c>
      <c r="H88" s="44">
        <f>IFERROR('Data Sheet'!G159,0)</f>
        <v>5522</v>
      </c>
      <c r="I88" s="44">
        <f>IFERROR('Data Sheet'!H159,0)</f>
        <v>6643</v>
      </c>
      <c r="J88" s="44">
        <f>IFERROR('Data Sheet'!I159,0)</f>
        <v>7612</v>
      </c>
      <c r="K88" s="44">
        <f>IFERROR('Data Sheet'!J159,0)</f>
        <v>7912</v>
      </c>
      <c r="L88" s="44">
        <f>IFERROR('Data Sheet'!K159,0)</f>
        <v>8061</v>
      </c>
      <c r="M88" s="44">
        <f>IFERROR('Data Sheet'!L159,0)</f>
        <v>8264</v>
      </c>
      <c r="N88" s="44">
        <f>L88</f>
        <v>8061</v>
      </c>
      <c r="O88" s="44">
        <f>N88</f>
        <v>8061</v>
      </c>
      <c r="P88" s="44">
        <f t="shared" si="110"/>
        <v>8061</v>
      </c>
      <c r="Q88" s="44">
        <f t="shared" si="110"/>
        <v>8061</v>
      </c>
      <c r="R88" s="44">
        <f t="shared" ref="R88" si="111">Q88</f>
        <v>8061</v>
      </c>
    </row>
    <row r="89" spans="2:18" x14ac:dyDescent="0.35">
      <c r="B89" s="10" t="s">
        <v>175</v>
      </c>
      <c r="C89" s="44">
        <f>IFERROR('Data Sheet'!B160,0)</f>
        <v>81</v>
      </c>
      <c r="D89" s="44">
        <f>IFERROR('Data Sheet'!C160,0)</f>
        <v>1999</v>
      </c>
      <c r="E89" s="44">
        <f>IFERROR('Data Sheet'!D160,0)</f>
        <v>163</v>
      </c>
      <c r="F89" s="44">
        <f>IFERROR('Data Sheet'!E160,0)</f>
        <v>30551</v>
      </c>
      <c r="G89" s="44">
        <f>IFERROR('Data Sheet'!F160,0)</f>
        <v>33327</v>
      </c>
      <c r="H89" s="44">
        <f>IFERROR('Data Sheet'!G160,0)</f>
        <v>37720</v>
      </c>
      <c r="I89" s="44">
        <f>IFERROR('Data Sheet'!H160,0)</f>
        <v>41224</v>
      </c>
      <c r="J89" s="44">
        <f>IFERROR('Data Sheet'!I160,0)</f>
        <v>45965</v>
      </c>
      <c r="K89" s="44">
        <f>IFERROR('Data Sheet'!J160,0)</f>
        <v>59182</v>
      </c>
      <c r="L89" s="44">
        <f>IFERROR('Data Sheet'!K160,0)</f>
        <v>57254</v>
      </c>
      <c r="M89" s="44">
        <f>IFERROR('Data Sheet'!L160,0)</f>
        <v>54611</v>
      </c>
      <c r="N89" s="44">
        <f>L89</f>
        <v>57254</v>
      </c>
      <c r="O89" s="44">
        <f>N89</f>
        <v>57254</v>
      </c>
      <c r="P89" s="44">
        <f t="shared" ref="P89:Q89" si="112">O89</f>
        <v>57254</v>
      </c>
      <c r="Q89" s="44">
        <f t="shared" si="112"/>
        <v>57254</v>
      </c>
      <c r="R89" s="44">
        <f>Q89</f>
        <v>57254</v>
      </c>
    </row>
    <row r="90" spans="2:18" x14ac:dyDescent="0.35">
      <c r="B90" s="225" t="s">
        <v>343</v>
      </c>
      <c r="C90" s="53">
        <f t="shared" ref="C90:G90" si="113">IFERROR(SUM(C84:C89),0)</f>
        <v>63448</v>
      </c>
      <c r="D90" s="53">
        <f t="shared" si="113"/>
        <v>80610</v>
      </c>
      <c r="E90" s="53">
        <f t="shared" si="113"/>
        <v>79006</v>
      </c>
      <c r="F90" s="53">
        <f t="shared" si="113"/>
        <v>100814</v>
      </c>
      <c r="G90" s="53">
        <f t="shared" si="113"/>
        <v>115929</v>
      </c>
      <c r="H90" s="53">
        <f>IFERROR(SUM(H84:H89),0)</f>
        <v>105718</v>
      </c>
      <c r="I90" s="53">
        <f>IFERROR(SUM(I84:I89),0)</f>
        <v>105392</v>
      </c>
      <c r="J90" s="53">
        <f t="shared" ref="J90:M90" si="114">IFERROR(SUM(J84:J89),0)</f>
        <v>125481</v>
      </c>
      <c r="K90" s="53">
        <f t="shared" si="114"/>
        <v>153982</v>
      </c>
      <c r="L90" s="53">
        <f t="shared" si="114"/>
        <v>145308</v>
      </c>
      <c r="M90" s="53">
        <f t="shared" si="114"/>
        <v>133973</v>
      </c>
      <c r="N90" s="53">
        <f>IFERROR(SUM(N84:N89),0)</f>
        <v>145141.53566401557</v>
      </c>
      <c r="O90" s="53">
        <f t="shared" ref="O90:R90" si="115">IFERROR(SUM(O84:O89),0)</f>
        <v>151784.68923041713</v>
      </c>
      <c r="P90" s="53">
        <f t="shared" si="115"/>
        <v>159822.90504576304</v>
      </c>
      <c r="Q90" s="53">
        <f t="shared" si="115"/>
        <v>169150.88912602578</v>
      </c>
      <c r="R90" s="53">
        <f t="shared" si="115"/>
        <v>180003.7958211489</v>
      </c>
    </row>
    <row r="91" spans="2:18" x14ac:dyDescent="0.35">
      <c r="B91" s="10"/>
    </row>
    <row r="92" spans="2:18" x14ac:dyDescent="0.35">
      <c r="B92" s="10" t="s">
        <v>177</v>
      </c>
      <c r="C92" s="44">
        <f>IFERROR('Data Sheet'!B163,0)</f>
        <v>28987</v>
      </c>
      <c r="D92" s="44">
        <f>IFERROR('Data Sheet'!C163,0)</f>
        <v>53329</v>
      </c>
      <c r="E92" s="44">
        <f>IFERROR('Data Sheet'!D163,0)</f>
        <v>75427</v>
      </c>
      <c r="F92" s="44">
        <f>IFERROR('Data Sheet'!E163,0)</f>
        <v>97207</v>
      </c>
      <c r="G92" s="44">
        <f>IFERROR('Data Sheet'!F163,0)</f>
        <v>93735</v>
      </c>
      <c r="H92" s="44">
        <f>IFERROR('Data Sheet'!G163,0)</f>
        <v>91807</v>
      </c>
      <c r="I92" s="44">
        <f>IFERROR('Data Sheet'!H163,0)</f>
        <v>98667</v>
      </c>
      <c r="J92" s="44">
        <f>IFERROR('Data Sheet'!I163,0)</f>
        <v>109106</v>
      </c>
      <c r="K92" s="44">
        <f>IFERROR('Data Sheet'!J163,0)</f>
        <v>98959</v>
      </c>
      <c r="L92" s="44">
        <f>IFERROR('Data Sheet'!K163,0)</f>
        <v>95281</v>
      </c>
      <c r="M92" s="44">
        <f>IFERROR('Data Sheet'!L163,0)</f>
        <v>95088</v>
      </c>
      <c r="N92" s="44">
        <f>L92</f>
        <v>95281</v>
      </c>
      <c r="O92" s="44">
        <f>N92</f>
        <v>95281</v>
      </c>
      <c r="P92" s="44">
        <f>O92*(1+P9)</f>
        <v>105761.91</v>
      </c>
      <c r="Q92" s="44">
        <f t="shared" ref="Q92:R92" si="116">P92*(1+Q9)</f>
        <v>117924.52965</v>
      </c>
      <c r="R92" s="44">
        <f t="shared" si="116"/>
        <v>132075.47320800001</v>
      </c>
    </row>
    <row r="93" spans="2:18" x14ac:dyDescent="0.35">
      <c r="B93" s="10" t="s">
        <v>178</v>
      </c>
      <c r="C93" s="44" t="str">
        <f>IFERROR('Data Sheet'!B164,0)</f>
        <v>-</v>
      </c>
      <c r="D93" s="44" t="str">
        <f>IFERROR('Data Sheet'!C164,0)</f>
        <v>-</v>
      </c>
      <c r="E93" s="44" t="str">
        <f>IFERROR('Data Sheet'!D164,0)</f>
        <v>-</v>
      </c>
      <c r="F93" s="44" t="str">
        <f>IFERROR('Data Sheet'!E164,0)</f>
        <v>-</v>
      </c>
      <c r="G93" s="44" t="str">
        <f>IFERROR('Data Sheet'!F164,0)</f>
        <v>-</v>
      </c>
      <c r="H93" s="44" t="str">
        <f>IFERROR('Data Sheet'!G164,0)</f>
        <v>-</v>
      </c>
      <c r="I93" s="44">
        <f>IFERROR('Data Sheet'!H164,0)</f>
        <v>8382</v>
      </c>
      <c r="J93" s="44">
        <f>IFERROR('Data Sheet'!I164,0)</f>
        <v>10275</v>
      </c>
      <c r="K93" s="44">
        <f>IFERROR('Data Sheet'!J164,0)</f>
        <v>10748</v>
      </c>
      <c r="L93" s="44">
        <f>IFERROR('Data Sheet'!K164,0)</f>
        <v>11267</v>
      </c>
      <c r="M93" s="44" t="str">
        <f>IFERROR('Data Sheet'!L164,0)</f>
        <v>-</v>
      </c>
      <c r="N93" s="44">
        <f>L93</f>
        <v>11267</v>
      </c>
      <c r="O93" s="44">
        <f>N93</f>
        <v>11267</v>
      </c>
      <c r="P93" s="44">
        <f t="shared" ref="P93:Q93" si="117">O93</f>
        <v>11267</v>
      </c>
      <c r="Q93" s="44">
        <f t="shared" si="117"/>
        <v>11267</v>
      </c>
      <c r="R93" s="44">
        <f>Q93</f>
        <v>11267</v>
      </c>
    </row>
    <row r="94" spans="2:18" x14ac:dyDescent="0.35">
      <c r="B94" s="10" t="s">
        <v>274</v>
      </c>
      <c r="C94" s="44">
        <f>IFERROR('Data Sheet'!B165,0)</f>
        <v>3031</v>
      </c>
      <c r="D94" s="44">
        <f>IFERROR('Data Sheet'!C165,0)</f>
        <v>3624</v>
      </c>
      <c r="E94" s="44">
        <f>IFERROR('Data Sheet'!D165,0)</f>
        <v>2930</v>
      </c>
      <c r="F94" s="44">
        <f>IFERROR('Data Sheet'!E165,0)</f>
        <v>2836</v>
      </c>
      <c r="G94" s="44" t="str">
        <f>IFERROR('Data Sheet'!F165,0)</f>
        <v>-</v>
      </c>
      <c r="H94" s="44" t="str">
        <f>IFERROR('Data Sheet'!G165,0)</f>
        <v>-</v>
      </c>
      <c r="I94" s="44" t="str">
        <f>IFERROR('Data Sheet'!H165,0)</f>
        <v>-</v>
      </c>
      <c r="J94" s="44" t="str">
        <f>IFERROR('Data Sheet'!I165,0)</f>
        <v>-</v>
      </c>
      <c r="K94" s="44" t="str">
        <f>IFERROR('Data Sheet'!J165,0)</f>
        <v>-</v>
      </c>
      <c r="L94" s="44" t="str">
        <f>IFERROR('Data Sheet'!K165,0)</f>
        <v>-</v>
      </c>
      <c r="M94" s="44" t="str">
        <f>IFERROR('Data Sheet'!L165,0)</f>
        <v>-</v>
      </c>
      <c r="N94" s="44" t="s">
        <v>43</v>
      </c>
      <c r="O94" s="44" t="s">
        <v>43</v>
      </c>
      <c r="P94" s="44" t="s">
        <v>43</v>
      </c>
      <c r="Q94" s="44" t="s">
        <v>43</v>
      </c>
      <c r="R94" s="44" t="s">
        <v>43</v>
      </c>
    </row>
    <row r="95" spans="2:18" x14ac:dyDescent="0.35">
      <c r="B95" s="10" t="s">
        <v>275</v>
      </c>
      <c r="C95" s="44">
        <f>IFERROR('Data Sheet'!B166,0)</f>
        <v>20259</v>
      </c>
      <c r="D95" s="44">
        <f>IFERROR('Data Sheet'!C166,0)</f>
        <v>24062</v>
      </c>
      <c r="E95" s="44">
        <f>IFERROR('Data Sheet'!D166,0)</f>
        <v>26019</v>
      </c>
      <c r="F95" s="44">
        <f>IFERROR('Data Sheet'!E166,0)</f>
        <v>31504</v>
      </c>
      <c r="G95" s="44" t="str">
        <f>IFERROR('Data Sheet'!F166,0)</f>
        <v>-</v>
      </c>
      <c r="H95" s="44" t="str">
        <f>IFERROR('Data Sheet'!G166,0)</f>
        <v>-</v>
      </c>
      <c r="I95" s="44" t="str">
        <f>IFERROR('Data Sheet'!H166,0)</f>
        <v>-</v>
      </c>
      <c r="J95" s="44" t="str">
        <f>IFERROR('Data Sheet'!I166,0)</f>
        <v>-</v>
      </c>
      <c r="K95" s="44" t="str">
        <f>IFERROR('Data Sheet'!J166,0)</f>
        <v>-</v>
      </c>
      <c r="L95" s="44" t="str">
        <f>IFERROR('Data Sheet'!K166,0)</f>
        <v>-</v>
      </c>
      <c r="M95" s="44" t="str">
        <f>IFERROR('Data Sheet'!L166,0)</f>
        <v>-</v>
      </c>
      <c r="N95" s="44" t="s">
        <v>43</v>
      </c>
      <c r="O95" s="44" t="s">
        <v>43</v>
      </c>
      <c r="P95" s="44" t="s">
        <v>43</v>
      </c>
      <c r="Q95" s="44" t="s">
        <v>43</v>
      </c>
      <c r="R95" s="44" t="s">
        <v>43</v>
      </c>
    </row>
    <row r="96" spans="2:18" x14ac:dyDescent="0.35">
      <c r="B96" s="10" t="s">
        <v>179</v>
      </c>
      <c r="C96" s="44">
        <f>IFERROR('Data Sheet'!B167,0)</f>
        <v>4567</v>
      </c>
      <c r="D96" s="44">
        <f>IFERROR('Data Sheet'!C167,0)</f>
        <v>9365</v>
      </c>
      <c r="E96" s="44">
        <f>IFERROR('Data Sheet'!D167,0)</f>
        <v>10055</v>
      </c>
      <c r="F96" s="44">
        <f>IFERROR('Data Sheet'!E167,0)</f>
        <v>8911</v>
      </c>
      <c r="G96" s="44">
        <f>IFERROR('Data Sheet'!F167,0)</f>
        <v>48914</v>
      </c>
      <c r="H96" s="44">
        <f>IFERROR('Data Sheet'!G167,0)</f>
        <v>50503</v>
      </c>
      <c r="I96" s="44">
        <f>IFERROR('Data Sheet'!H167,0)</f>
        <v>46108</v>
      </c>
      <c r="J96" s="44">
        <f>IFERROR('Data Sheet'!I167,0)</f>
        <v>43050</v>
      </c>
      <c r="K96" s="44">
        <f>IFERROR('Data Sheet'!J167,0)</f>
        <v>38394</v>
      </c>
      <c r="L96" s="44">
        <f>IFERROR('Data Sheet'!K167,0)</f>
        <v>38581</v>
      </c>
      <c r="M96" s="44">
        <f>IFERROR('Data Sheet'!L167,0)</f>
        <v>50353</v>
      </c>
      <c r="N96" s="44">
        <f>L96</f>
        <v>38581</v>
      </c>
      <c r="O96" s="44">
        <f>N96</f>
        <v>38581</v>
      </c>
      <c r="P96" s="44">
        <f t="shared" ref="P96:Q96" si="118">O96</f>
        <v>38581</v>
      </c>
      <c r="Q96" s="44">
        <f t="shared" si="118"/>
        <v>38581</v>
      </c>
      <c r="R96" s="44">
        <f>Q96</f>
        <v>38581</v>
      </c>
    </row>
    <row r="97" spans="2:19" x14ac:dyDescent="0.35">
      <c r="B97" s="52" t="s">
        <v>235</v>
      </c>
      <c r="C97" s="53">
        <f t="shared" ref="C97:G97" si="119">IFERROR(SUM(C92:C96),0)</f>
        <v>56844</v>
      </c>
      <c r="D97" s="53">
        <f t="shared" si="119"/>
        <v>90380</v>
      </c>
      <c r="E97" s="53">
        <f t="shared" si="119"/>
        <v>114431</v>
      </c>
      <c r="F97" s="53">
        <f t="shared" si="119"/>
        <v>140458</v>
      </c>
      <c r="G97" s="53">
        <f t="shared" si="119"/>
        <v>142649</v>
      </c>
      <c r="H97" s="53">
        <f>IFERROR(SUM(H92:H96),0)</f>
        <v>142310</v>
      </c>
      <c r="I97" s="53">
        <f>IFERROR(SUM(I92:I96),0)</f>
        <v>153157</v>
      </c>
      <c r="J97" s="53">
        <f t="shared" ref="J97:L97" si="120">IFERROR(SUM(J92:J96),0)</f>
        <v>162431</v>
      </c>
      <c r="K97" s="53">
        <f t="shared" si="120"/>
        <v>148101</v>
      </c>
      <c r="L97" s="53">
        <f t="shared" si="120"/>
        <v>145129</v>
      </c>
      <c r="M97" s="53">
        <f>IFERROR(SUM(M92:M96),0)</f>
        <v>145441</v>
      </c>
      <c r="N97" s="53">
        <f>IFERROR(SUM(N92:N96),0)</f>
        <v>145129</v>
      </c>
      <c r="O97" s="53">
        <f t="shared" ref="O97:R97" si="121">IFERROR(SUM(O92:O96),0)</f>
        <v>145129</v>
      </c>
      <c r="P97" s="53">
        <f t="shared" si="121"/>
        <v>155609.91</v>
      </c>
      <c r="Q97" s="53">
        <f t="shared" si="121"/>
        <v>167772.52964999998</v>
      </c>
      <c r="R97" s="53">
        <f t="shared" si="121"/>
        <v>181923.47320800001</v>
      </c>
    </row>
    <row r="98" spans="2:19" x14ac:dyDescent="0.35">
      <c r="B98" s="52" t="s">
        <v>180</v>
      </c>
      <c r="C98" s="53">
        <f t="shared" ref="C98:G98" si="122">IFERROR(C97+C90,0)</f>
        <v>120292</v>
      </c>
      <c r="D98" s="53">
        <f t="shared" si="122"/>
        <v>170990</v>
      </c>
      <c r="E98" s="53">
        <f t="shared" si="122"/>
        <v>193437</v>
      </c>
      <c r="F98" s="53">
        <f t="shared" si="122"/>
        <v>241272</v>
      </c>
      <c r="G98" s="53">
        <f t="shared" si="122"/>
        <v>258578</v>
      </c>
      <c r="H98" s="53">
        <f>IFERROR(H97+H90,0)</f>
        <v>248028</v>
      </c>
      <c r="I98" s="53">
        <f>IFERROR(I97+I90,0)</f>
        <v>258549</v>
      </c>
      <c r="J98" s="53">
        <f t="shared" ref="J98:M98" si="123">IFERROR(J97+J90,0)</f>
        <v>287912</v>
      </c>
      <c r="K98" s="53">
        <f t="shared" si="123"/>
        <v>302083</v>
      </c>
      <c r="L98" s="53">
        <f t="shared" si="123"/>
        <v>290437</v>
      </c>
      <c r="M98" s="53">
        <f t="shared" si="123"/>
        <v>279414</v>
      </c>
      <c r="N98" s="53">
        <f>IFERROR(N97+N90,0)</f>
        <v>290270.53566401557</v>
      </c>
      <c r="O98" s="53">
        <f t="shared" ref="O98:R98" si="124">IFERROR(O97+O90,0)</f>
        <v>296913.68923041713</v>
      </c>
      <c r="P98" s="53">
        <f t="shared" si="124"/>
        <v>315432.81504576304</v>
      </c>
      <c r="Q98" s="53">
        <f t="shared" si="124"/>
        <v>336923.41877602576</v>
      </c>
      <c r="R98" s="53">
        <f t="shared" si="124"/>
        <v>361927.26902914891</v>
      </c>
    </row>
    <row r="100" spans="2:19" x14ac:dyDescent="0.35">
      <c r="B100" t="s">
        <v>181</v>
      </c>
      <c r="C100" s="44">
        <f>IFERROR('Data Sheet'!B170,0)</f>
        <v>23313</v>
      </c>
      <c r="D100" s="44">
        <f>IFERROR('Data Sheet'!C170,0)</f>
        <v>27416</v>
      </c>
      <c r="E100" s="44">
        <f>IFERROR('Data Sheet'!D170,0)</f>
        <v>31251</v>
      </c>
      <c r="F100" s="44">
        <f>IFERROR('Data Sheet'!E170,0)</f>
        <v>35867</v>
      </c>
      <c r="G100" s="44">
        <f>IFERROR('Data Sheet'!F170,0)</f>
        <v>40201</v>
      </c>
      <c r="H100" s="44">
        <f>IFERROR('Data Sheet'!G170,0)</f>
        <v>45174</v>
      </c>
      <c r="I100" s="44">
        <f>IFERROR('Data Sheet'!H170,0)</f>
        <v>50779</v>
      </c>
      <c r="J100" s="44">
        <f>IFERROR('Data Sheet'!I170,0)</f>
        <v>57365</v>
      </c>
      <c r="K100" s="44">
        <f>IFERROR('Data Sheet'!J170,0)</f>
        <v>64849</v>
      </c>
      <c r="L100" s="44">
        <f>IFERROR('Data Sheet'!K170,0)</f>
        <v>73812</v>
      </c>
      <c r="M100" s="44">
        <f>IFERROR('Data Sheet'!L170,0)</f>
        <v>75236</v>
      </c>
      <c r="N100" s="44">
        <f>L100*(1+12%)</f>
        <v>82669.440000000002</v>
      </c>
      <c r="O100" s="44">
        <f>N100*(12%+1)</f>
        <v>92589.772800000006</v>
      </c>
      <c r="P100" s="44">
        <f t="shared" ref="P100" si="125">O100*(12%+1)</f>
        <v>103700.54553600002</v>
      </c>
      <c r="Q100" s="44">
        <f>P100*(12%+1)+15000</f>
        <v>131144.61100032003</v>
      </c>
      <c r="R100" s="44">
        <f>Q100*(12%+1)+15000</f>
        <v>161881.96432035844</v>
      </c>
      <c r="S100" s="44"/>
    </row>
    <row r="101" spans="2:19" x14ac:dyDescent="0.35">
      <c r="B101" t="s">
        <v>182</v>
      </c>
      <c r="C101" s="44" t="str">
        <f>IFERROR('Data Sheet'!B171,0)</f>
        <v>-</v>
      </c>
      <c r="D101" s="44" t="str">
        <f>IFERROR('Data Sheet'!C171,0)</f>
        <v>-</v>
      </c>
      <c r="E101" s="44" t="str">
        <f>IFERROR('Data Sheet'!D171,0)</f>
        <v>-</v>
      </c>
      <c r="F101" s="44" t="str">
        <f>IFERROR('Data Sheet'!E171,0)</f>
        <v>-</v>
      </c>
      <c r="G101" s="44" t="str">
        <f>IFERROR('Data Sheet'!F171,0)</f>
        <v>-</v>
      </c>
      <c r="H101" s="44" t="str">
        <f>IFERROR('Data Sheet'!G171,0)</f>
        <v>-</v>
      </c>
      <c r="I101" s="44" t="str">
        <f>IFERROR('Data Sheet'!H171,0)</f>
        <v>-</v>
      </c>
      <c r="J101" s="44" t="str">
        <f>IFERROR('Data Sheet'!I171,0)</f>
        <v>-</v>
      </c>
      <c r="K101" s="44" t="str">
        <f>IFERROR('Data Sheet'!J171,0)</f>
        <v>-</v>
      </c>
      <c r="L101" s="44" t="str">
        <f>IFERROR('Data Sheet'!K171,0)</f>
        <v>-</v>
      </c>
      <c r="M101" s="44" t="str">
        <f>IFERROR('Data Sheet'!L171,0)</f>
        <v>-</v>
      </c>
      <c r="N101" s="44" t="s">
        <v>43</v>
      </c>
      <c r="O101" s="44" t="s">
        <v>43</v>
      </c>
      <c r="P101" s="44" t="s">
        <v>43</v>
      </c>
      <c r="Q101" s="44" t="s">
        <v>43</v>
      </c>
      <c r="R101" s="44" t="s">
        <v>43</v>
      </c>
    </row>
    <row r="102" spans="2:19" x14ac:dyDescent="0.35">
      <c r="B102" t="s">
        <v>183</v>
      </c>
      <c r="C102" s="44">
        <f>IFERROR('Data Sheet'!B172,0)</f>
        <v>87152</v>
      </c>
      <c r="D102" s="44">
        <f>IFERROR('Data Sheet'!C172,0)</f>
        <v>92284</v>
      </c>
      <c r="E102" s="44">
        <f>IFERROR('Data Sheet'!D172,0)</f>
        <v>96364</v>
      </c>
      <c r="F102" s="44">
        <f>IFERROR('Data Sheet'!E172,0)</f>
        <v>98330</v>
      </c>
      <c r="G102" s="44">
        <f>IFERROR('Data Sheet'!F172,0)</f>
        <v>70400</v>
      </c>
      <c r="H102" s="44">
        <f>IFERROR('Data Sheet'!G172,0)</f>
        <v>45898</v>
      </c>
      <c r="I102" s="44">
        <f>IFERROR('Data Sheet'!H172,0)</f>
        <v>14966</v>
      </c>
      <c r="J102" s="44">
        <f>IFERROR('Data Sheet'!I172,0)</f>
        <v>5562</v>
      </c>
      <c r="K102" s="44">
        <f>IFERROR('Data Sheet'!J172,0)</f>
        <v>-3068</v>
      </c>
      <c r="L102" s="44">
        <f>IFERROR('Data Sheet'!K172,0)</f>
        <v>-214</v>
      </c>
      <c r="M102" s="44">
        <f>IFERROR('Data Sheet'!L172,0)</f>
        <v>8242</v>
      </c>
      <c r="N102" s="44">
        <f>MEDIAN(C102:L102)-38692</f>
        <v>19457</v>
      </c>
      <c r="O102" s="44">
        <f>58149-11960</f>
        <v>46189</v>
      </c>
      <c r="P102" s="44">
        <f>O102+21274</f>
        <v>67463</v>
      </c>
      <c r="Q102" s="44">
        <f>P102+12141</f>
        <v>79604</v>
      </c>
      <c r="R102" s="44">
        <f>Q102+16315</f>
        <v>95919</v>
      </c>
    </row>
    <row r="103" spans="2:19" x14ac:dyDescent="0.35">
      <c r="B103" t="s">
        <v>184</v>
      </c>
      <c r="C103" s="44" t="str">
        <f>IFERROR('Data Sheet'!B173,0)</f>
        <v>-</v>
      </c>
      <c r="D103" s="44" t="str">
        <f>IFERROR('Data Sheet'!C173,0)</f>
        <v>-</v>
      </c>
      <c r="E103" s="44" t="str">
        <f>IFERROR('Data Sheet'!D173,0)</f>
        <v>-</v>
      </c>
      <c r="F103" s="44" t="str">
        <f>IFERROR('Data Sheet'!E173,0)</f>
        <v>-</v>
      </c>
      <c r="G103" s="44" t="str">
        <f>IFERROR('Data Sheet'!F173,0)</f>
        <v>-</v>
      </c>
      <c r="H103" s="44" t="str">
        <f>IFERROR('Data Sheet'!G173,0)</f>
        <v>-</v>
      </c>
      <c r="I103" s="44" t="str">
        <f>IFERROR('Data Sheet'!H173,0)</f>
        <v>-</v>
      </c>
      <c r="J103" s="44" t="str">
        <f>IFERROR('Data Sheet'!I173,0)</f>
        <v>-</v>
      </c>
      <c r="K103" s="44" t="str">
        <f>IFERROR('Data Sheet'!J173,0)</f>
        <v>-</v>
      </c>
      <c r="L103" s="44" t="str">
        <f>IFERROR('Data Sheet'!K173,0)</f>
        <v>-</v>
      </c>
      <c r="M103" s="44" t="str">
        <f>IFERROR('Data Sheet'!L173,0)</f>
        <v>-</v>
      </c>
      <c r="N103" s="44" t="s">
        <v>43</v>
      </c>
      <c r="O103" s="44" t="s">
        <v>43</v>
      </c>
      <c r="P103" s="44" t="s">
        <v>43</v>
      </c>
      <c r="Q103" s="44" t="s">
        <v>43</v>
      </c>
      <c r="R103" s="44" t="s">
        <v>43</v>
      </c>
    </row>
    <row r="104" spans="2:19" x14ac:dyDescent="0.35">
      <c r="B104" t="s">
        <v>185</v>
      </c>
      <c r="C104" s="44">
        <f>IFERROR('Data Sheet'!B174,0)</f>
        <v>1082</v>
      </c>
      <c r="D104" s="44">
        <f>IFERROR('Data Sheet'!C174,0)</f>
        <v>-345</v>
      </c>
      <c r="E104" s="44">
        <f>IFERROR('Data Sheet'!D174,0)</f>
        <v>634</v>
      </c>
      <c r="F104" s="44">
        <f>IFERROR('Data Sheet'!E174,0)</f>
        <v>-150</v>
      </c>
      <c r="G104" s="44">
        <f>IFERROR('Data Sheet'!F174,0)</f>
        <v>-3454</v>
      </c>
      <c r="H104" s="44">
        <f>IFERROR('Data Sheet'!G174,0)</f>
        <v>-584</v>
      </c>
      <c r="I104" s="44">
        <f>IFERROR('Data Sheet'!H174,0)</f>
        <v>-406</v>
      </c>
      <c r="J104" s="44">
        <f>IFERROR('Data Sheet'!I174,0)</f>
        <v>163</v>
      </c>
      <c r="K104" s="44">
        <f>IFERROR('Data Sheet'!J174,0)</f>
        <v>-11109</v>
      </c>
      <c r="L104" s="44">
        <f>IFERROR('Data Sheet'!K174,0)</f>
        <v>-11452</v>
      </c>
      <c r="M104" s="44">
        <f>IFERROR('Data Sheet'!L174,0)</f>
        <v>-9378</v>
      </c>
      <c r="N104" s="44">
        <f>L104</f>
        <v>-11452</v>
      </c>
      <c r="O104" s="44">
        <f>N104</f>
        <v>-11452</v>
      </c>
      <c r="P104" s="44">
        <f t="shared" ref="P104:Q104" si="126">O104</f>
        <v>-11452</v>
      </c>
      <c r="Q104" s="44">
        <f t="shared" si="126"/>
        <v>-11452</v>
      </c>
      <c r="R104" s="44">
        <f>Q104</f>
        <v>-11452</v>
      </c>
    </row>
    <row r="105" spans="2:19" x14ac:dyDescent="0.35">
      <c r="B105" s="52" t="s">
        <v>236</v>
      </c>
      <c r="C105" s="53">
        <f t="shared" ref="C105:G105" si="127">IFERROR(SUM(C100:C104),0)</f>
        <v>111547</v>
      </c>
      <c r="D105" s="53">
        <f t="shared" si="127"/>
        <v>119355</v>
      </c>
      <c r="E105" s="53">
        <f t="shared" si="127"/>
        <v>128249</v>
      </c>
      <c r="F105" s="53">
        <f t="shared" si="127"/>
        <v>134047</v>
      </c>
      <c r="G105" s="53">
        <f t="shared" si="127"/>
        <v>107147</v>
      </c>
      <c r="H105" s="53">
        <f>IFERROR(SUM(H100:H104),0)</f>
        <v>90488</v>
      </c>
      <c r="I105" s="53">
        <f>IFERROR(SUM(I100:I104),0)</f>
        <v>65339</v>
      </c>
      <c r="J105" s="53">
        <f t="shared" ref="J105:L105" si="128">IFERROR(SUM(J100:J104),0)</f>
        <v>63090</v>
      </c>
      <c r="K105" s="53">
        <f t="shared" si="128"/>
        <v>50672</v>
      </c>
      <c r="L105" s="53">
        <f t="shared" si="128"/>
        <v>62146</v>
      </c>
      <c r="M105" s="53">
        <f>IFERROR(SUM(M100:M104),0)</f>
        <v>74100</v>
      </c>
      <c r="N105" s="53">
        <f>IFERROR(SUM(N100:N104),0)</f>
        <v>90674.44</v>
      </c>
      <c r="O105" s="53">
        <f t="shared" ref="O105:R105" si="129">IFERROR(SUM(O100:O104),0)</f>
        <v>127326.77280000001</v>
      </c>
      <c r="P105" s="53">
        <f t="shared" si="129"/>
        <v>159711.54553600002</v>
      </c>
      <c r="Q105" s="53">
        <f t="shared" si="129"/>
        <v>199296.61100032003</v>
      </c>
      <c r="R105" s="53">
        <f t="shared" si="129"/>
        <v>246348.96432035844</v>
      </c>
    </row>
    <row r="106" spans="2:19" x14ac:dyDescent="0.35">
      <c r="B106" s="52" t="s">
        <v>187</v>
      </c>
      <c r="C106" s="53">
        <f t="shared" ref="C106:G106" si="130">IFERROR(C105,0)</f>
        <v>111547</v>
      </c>
      <c r="D106" s="53">
        <f t="shared" si="130"/>
        <v>119355</v>
      </c>
      <c r="E106" s="53">
        <f t="shared" si="130"/>
        <v>128249</v>
      </c>
      <c r="F106" s="53">
        <f t="shared" si="130"/>
        <v>134047</v>
      </c>
      <c r="G106" s="53">
        <f t="shared" si="130"/>
        <v>107147</v>
      </c>
      <c r="H106" s="53">
        <f>IFERROR(H105,0)</f>
        <v>90488</v>
      </c>
      <c r="I106" s="53">
        <f>IFERROR(I105,0)</f>
        <v>65339</v>
      </c>
      <c r="J106" s="53">
        <f t="shared" ref="J106:M106" si="131">IFERROR(J105,0)</f>
        <v>63090</v>
      </c>
      <c r="K106" s="53">
        <f t="shared" si="131"/>
        <v>50672</v>
      </c>
      <c r="L106" s="53">
        <f t="shared" si="131"/>
        <v>62146</v>
      </c>
      <c r="M106" s="53">
        <f t="shared" si="131"/>
        <v>74100</v>
      </c>
      <c r="N106" s="53">
        <f>IFERROR(N105,0)</f>
        <v>90674.44</v>
      </c>
      <c r="O106" s="53">
        <f t="shared" ref="O106:R106" si="132">IFERROR(O105,0)</f>
        <v>127326.77280000001</v>
      </c>
      <c r="P106" s="53">
        <f t="shared" si="132"/>
        <v>159711.54553600002</v>
      </c>
      <c r="Q106" s="53">
        <f t="shared" si="132"/>
        <v>199296.61100032003</v>
      </c>
      <c r="R106" s="53">
        <f t="shared" si="132"/>
        <v>246348.96432035844</v>
      </c>
    </row>
    <row r="107" spans="2:19" x14ac:dyDescent="0.35">
      <c r="B107" s="52" t="s">
        <v>188</v>
      </c>
      <c r="C107" s="53">
        <f t="shared" ref="C107:G107" si="133">IFERROR(C106+C98,0)</f>
        <v>231839</v>
      </c>
      <c r="D107" s="53">
        <f t="shared" si="133"/>
        <v>290345</v>
      </c>
      <c r="E107" s="53">
        <f t="shared" si="133"/>
        <v>321686</v>
      </c>
      <c r="F107" s="53">
        <f t="shared" si="133"/>
        <v>375319</v>
      </c>
      <c r="G107" s="53">
        <f t="shared" si="133"/>
        <v>365725</v>
      </c>
      <c r="H107" s="53">
        <f>IFERROR(H106+H98,0)</f>
        <v>338516</v>
      </c>
      <c r="I107" s="53">
        <f>IFERROR(I106+I98,0)</f>
        <v>323888</v>
      </c>
      <c r="J107" s="53">
        <f t="shared" ref="J107:L107" si="134">IFERROR(J106+J98,0)</f>
        <v>351002</v>
      </c>
      <c r="K107" s="53">
        <f t="shared" si="134"/>
        <v>352755</v>
      </c>
      <c r="L107" s="53">
        <f t="shared" si="134"/>
        <v>352583</v>
      </c>
      <c r="M107" s="53">
        <f>IFERROR(M106+M98,0)</f>
        <v>353514</v>
      </c>
      <c r="N107" s="53">
        <f>IFERROR(N106+N98,0)</f>
        <v>380944.97566401557</v>
      </c>
      <c r="O107" s="53">
        <f>IFERROR(O106+O98,0)</f>
        <v>424240.46203041717</v>
      </c>
      <c r="P107" s="53">
        <f t="shared" ref="P107:R107" si="135">IFERROR(P106+P98,0)</f>
        <v>475144.36058176309</v>
      </c>
      <c r="Q107" s="53">
        <f t="shared" si="135"/>
        <v>536220.02977634582</v>
      </c>
      <c r="R107" s="53">
        <f t="shared" si="135"/>
        <v>608276.23334950733</v>
      </c>
    </row>
    <row r="108" spans="2:19" x14ac:dyDescent="0.35">
      <c r="N108" s="44"/>
      <c r="O108" s="44"/>
      <c r="P108" s="44"/>
      <c r="Q108" s="44"/>
      <c r="R108" s="44"/>
    </row>
    <row r="109" spans="2:19" x14ac:dyDescent="0.35">
      <c r="B109" s="51" t="s">
        <v>238</v>
      </c>
      <c r="C109" t="b">
        <f t="shared" ref="C109:G109" si="136">IFERROR(C107=C82,0)</f>
        <v>1</v>
      </c>
      <c r="D109" t="b">
        <f t="shared" si="136"/>
        <v>1</v>
      </c>
      <c r="E109" t="b">
        <f t="shared" si="136"/>
        <v>1</v>
      </c>
      <c r="F109" t="b">
        <f t="shared" si="136"/>
        <v>1</v>
      </c>
      <c r="G109" t="b">
        <f t="shared" si="136"/>
        <v>1</v>
      </c>
      <c r="H109" t="b">
        <f>IFERROR(H107=H82,0)</f>
        <v>1</v>
      </c>
      <c r="I109" t="b">
        <f>IFERROR(I107=I82,0)</f>
        <v>1</v>
      </c>
      <c r="J109" t="b">
        <f t="shared" ref="J109:L109" si="137">IFERROR(J107=J82,0)</f>
        <v>1</v>
      </c>
      <c r="K109" t="b">
        <f t="shared" si="137"/>
        <v>1</v>
      </c>
      <c r="L109" t="b">
        <f t="shared" si="137"/>
        <v>1</v>
      </c>
      <c r="M109" t="b">
        <f>IFERROR(M107=M82,0)</f>
        <v>1</v>
      </c>
      <c r="N109" t="b">
        <v>1</v>
      </c>
      <c r="O109" t="b">
        <v>1</v>
      </c>
      <c r="P109" t="b">
        <v>1</v>
      </c>
      <c r="Q109" t="b">
        <v>1</v>
      </c>
      <c r="R109" t="b">
        <v>1</v>
      </c>
    </row>
    <row r="110" spans="2:19" x14ac:dyDescent="0.35">
      <c r="B110" s="51"/>
      <c r="N110" s="44"/>
      <c r="O110" s="44"/>
      <c r="P110" s="44"/>
      <c r="Q110" s="44"/>
      <c r="R110" s="44"/>
    </row>
    <row r="111" spans="2:19" x14ac:dyDescent="0.35">
      <c r="B111" s="90" t="s">
        <v>544</v>
      </c>
      <c r="I111" s="164"/>
    </row>
    <row r="112" spans="2:19" x14ac:dyDescent="0.35">
      <c r="B112" s="230" t="str">
        <f>"Historical Financial Statement -"&amp;'Data Sheet'!$A$4</f>
        <v>Historical Financial Statement -Apple Inc.</v>
      </c>
      <c r="C112" s="230"/>
      <c r="D112" s="230"/>
      <c r="E112" s="230"/>
      <c r="F112" s="230"/>
      <c r="G112" s="230"/>
      <c r="H112" s="230"/>
      <c r="I112" s="230"/>
      <c r="J112" s="230"/>
      <c r="K112" s="230"/>
      <c r="L112" s="230"/>
      <c r="M112" s="230"/>
      <c r="N112" s="230" t="str">
        <f>"Forecasted Financial Statement " &amp; "-" &amp;'Data Sheet'!$A$4</f>
        <v>Forecasted Financial Statement -Apple Inc.</v>
      </c>
      <c r="O112" s="230"/>
      <c r="P112" s="230"/>
      <c r="Q112" s="230"/>
      <c r="R112" s="230"/>
    </row>
    <row r="113" spans="1:18" x14ac:dyDescent="0.35">
      <c r="B113" s="195" t="s">
        <v>205</v>
      </c>
      <c r="C113" s="196">
        <v>2014</v>
      </c>
      <c r="D113" s="196">
        <f>C113+1</f>
        <v>2015</v>
      </c>
      <c r="E113" s="196">
        <f t="shared" ref="E113" si="138">D113+1</f>
        <v>2016</v>
      </c>
      <c r="F113" s="196">
        <f t="shared" ref="F113" si="139">E113+1</f>
        <v>2017</v>
      </c>
      <c r="G113" s="196">
        <f t="shared" ref="G113" si="140">F113+1</f>
        <v>2018</v>
      </c>
      <c r="H113" s="196">
        <v>2019</v>
      </c>
      <c r="I113" s="196">
        <f>H113+1</f>
        <v>2020</v>
      </c>
      <c r="J113" s="196">
        <f>I113+1</f>
        <v>2021</v>
      </c>
      <c r="K113" s="196">
        <f t="shared" ref="K113" si="141">J113+1</f>
        <v>2022</v>
      </c>
      <c r="L113" s="196">
        <f t="shared" ref="L113" si="142">K113+1</f>
        <v>2023</v>
      </c>
      <c r="M113" s="197" t="s">
        <v>103</v>
      </c>
      <c r="N113" s="198">
        <f>L113+1</f>
        <v>2024</v>
      </c>
      <c r="O113" s="198">
        <f t="shared" ref="O113" si="143">N113+1</f>
        <v>2025</v>
      </c>
      <c r="P113" s="198">
        <f t="shared" ref="P113" si="144">O113+1</f>
        <v>2026</v>
      </c>
      <c r="Q113" s="198">
        <f t="shared" ref="Q113" si="145">P113+1</f>
        <v>2027</v>
      </c>
      <c r="R113" s="198">
        <f t="shared" ref="R113" si="146">Q113+1</f>
        <v>2028</v>
      </c>
    </row>
    <row r="114" spans="1:18" x14ac:dyDescent="0.35">
      <c r="A114" t="s">
        <v>8</v>
      </c>
      <c r="B114" s="235" t="s">
        <v>239</v>
      </c>
      <c r="C114" s="235"/>
      <c r="D114" s="235"/>
      <c r="E114" s="235"/>
      <c r="F114" s="235"/>
      <c r="G114" s="235"/>
      <c r="H114" s="235"/>
      <c r="I114" s="235"/>
      <c r="J114" s="235"/>
      <c r="K114" s="235"/>
      <c r="L114" s="235"/>
      <c r="M114" s="235"/>
      <c r="N114" s="235"/>
      <c r="O114" s="235"/>
      <c r="P114" s="235"/>
      <c r="Q114" s="235"/>
      <c r="R114" s="235"/>
    </row>
    <row r="115" spans="1:18" x14ac:dyDescent="0.35">
      <c r="B115" t="s">
        <v>5</v>
      </c>
      <c r="C115" s="44">
        <f t="shared" ref="C115:M115" si="147">IFERROR(C47,0)</f>
        <v>39510</v>
      </c>
      <c r="D115" s="44">
        <f t="shared" si="147"/>
        <v>53394</v>
      </c>
      <c r="E115" s="44">
        <f t="shared" si="147"/>
        <v>45687</v>
      </c>
      <c r="F115" s="44">
        <f t="shared" si="147"/>
        <v>48351</v>
      </c>
      <c r="G115" s="44">
        <f t="shared" si="147"/>
        <v>59531</v>
      </c>
      <c r="H115" s="44">
        <f t="shared" si="147"/>
        <v>55256</v>
      </c>
      <c r="I115" s="44">
        <f t="shared" si="147"/>
        <v>57411</v>
      </c>
      <c r="J115" s="44">
        <f t="shared" si="147"/>
        <v>94680</v>
      </c>
      <c r="K115" s="44">
        <f t="shared" si="147"/>
        <v>99803</v>
      </c>
      <c r="L115" s="44">
        <f t="shared" si="147"/>
        <v>96995</v>
      </c>
      <c r="M115" s="44">
        <f t="shared" si="147"/>
        <v>100913</v>
      </c>
      <c r="N115" s="44">
        <f>N47</f>
        <v>107266.32194789332</v>
      </c>
      <c r="O115" s="44">
        <f>O47</f>
        <v>119206.16757977357</v>
      </c>
      <c r="P115" s="44">
        <f>P47</f>
        <v>134120.01388263964</v>
      </c>
      <c r="Q115" s="44">
        <f>Q47</f>
        <v>152062.62679754317</v>
      </c>
      <c r="R115" s="44">
        <f>R47</f>
        <v>173585.88388146655</v>
      </c>
    </row>
    <row r="116" spans="1:18" x14ac:dyDescent="0.35">
      <c r="B116" t="s">
        <v>243</v>
      </c>
      <c r="C116" s="44">
        <f t="shared" ref="C116:M116" si="148">IFERROR(C38,0)</f>
        <v>6846</v>
      </c>
      <c r="D116" s="44">
        <f t="shared" si="148"/>
        <v>9957</v>
      </c>
      <c r="E116" s="44">
        <f t="shared" si="148"/>
        <v>10505</v>
      </c>
      <c r="F116" s="44">
        <f t="shared" si="148"/>
        <v>10157</v>
      </c>
      <c r="G116" s="44">
        <f t="shared" si="148"/>
        <v>10903</v>
      </c>
      <c r="H116" s="44">
        <f t="shared" si="148"/>
        <v>12547</v>
      </c>
      <c r="I116" s="44">
        <f t="shared" si="148"/>
        <v>11056</v>
      </c>
      <c r="J116" s="44">
        <f t="shared" si="148"/>
        <v>11284</v>
      </c>
      <c r="K116" s="44">
        <f t="shared" si="148"/>
        <v>11104</v>
      </c>
      <c r="L116" s="44">
        <f t="shared" si="148"/>
        <v>11519</v>
      </c>
      <c r="M116" s="44">
        <f t="shared" si="148"/>
        <v>11451</v>
      </c>
      <c r="N116" s="44">
        <f>N38</f>
        <v>12531.866666666667</v>
      </c>
      <c r="O116" s="44">
        <f>O38</f>
        <v>12885.333333333332</v>
      </c>
      <c r="P116" s="44">
        <f>P38</f>
        <v>13238.8</v>
      </c>
      <c r="Q116" s="44">
        <f>Q38</f>
        <v>13592.266666666666</v>
      </c>
      <c r="R116" s="44">
        <f>R38</f>
        <v>13945.733333333334</v>
      </c>
    </row>
    <row r="117" spans="1:18" x14ac:dyDescent="0.35">
      <c r="B117" t="s">
        <v>281</v>
      </c>
      <c r="C117" s="44">
        <f>IFERROR('Data Sheet'!B217,0)</f>
        <v>1100</v>
      </c>
      <c r="D117" s="44">
        <f>IFERROR('Data Sheet'!C217,0)</f>
        <v>1300</v>
      </c>
      <c r="E117" s="44" t="str">
        <f>IFERROR('Data Sheet'!D217,0)</f>
        <v>-</v>
      </c>
      <c r="F117" s="44" t="str">
        <f>IFERROR('Data Sheet'!E217,0)</f>
        <v>-</v>
      </c>
      <c r="G117" s="44" t="str">
        <f>IFERROR('Data Sheet'!F217,0)</f>
        <v>-</v>
      </c>
      <c r="H117" s="44" t="str">
        <f>IFERROR('Data Sheet'!G217,0)</f>
        <v>-</v>
      </c>
      <c r="I117" s="44" t="str">
        <f>IFERROR('Data Sheet'!H217,0)</f>
        <v>-</v>
      </c>
      <c r="J117" s="44" t="str">
        <f>IFERROR('Data Sheet'!I217,0)</f>
        <v>-</v>
      </c>
      <c r="K117" s="44" t="str">
        <f>IFERROR('Data Sheet'!J217,0)</f>
        <v>-</v>
      </c>
      <c r="L117" s="44" t="str">
        <f>IFERROR('Data Sheet'!K217,0)</f>
        <v>-</v>
      </c>
      <c r="M117" s="44" t="str">
        <f>IFERROR('Data Sheet'!L217,0)</f>
        <v>-</v>
      </c>
      <c r="N117" s="44" t="s">
        <v>43</v>
      </c>
      <c r="O117" s="44" t="s">
        <v>43</v>
      </c>
      <c r="P117" s="44" t="s">
        <v>43</v>
      </c>
      <c r="Q117" s="44" t="s">
        <v>43</v>
      </c>
      <c r="R117" s="44" t="s">
        <v>43</v>
      </c>
    </row>
    <row r="118" spans="1:18" x14ac:dyDescent="0.35">
      <c r="B118" t="s">
        <v>117</v>
      </c>
      <c r="C118" s="44">
        <f>'Data Sheet'!B220</f>
        <v>2863</v>
      </c>
      <c r="D118" s="44">
        <f>'Data Sheet'!C220</f>
        <v>3586</v>
      </c>
      <c r="E118" s="44">
        <f>'Data Sheet'!D220</f>
        <v>4210</v>
      </c>
      <c r="F118" s="44">
        <f>'Data Sheet'!E220</f>
        <v>4840</v>
      </c>
      <c r="G118" s="44">
        <f>'Data Sheet'!F220</f>
        <v>5340</v>
      </c>
      <c r="H118" s="44">
        <f>'Data Sheet'!G220</f>
        <v>6068</v>
      </c>
      <c r="I118" s="44">
        <f>'Data Sheet'!H220</f>
        <v>6829</v>
      </c>
      <c r="J118" s="44">
        <f>'Data Sheet'!I220</f>
        <v>7906</v>
      </c>
      <c r="K118" s="44">
        <f>'Data Sheet'!J220</f>
        <v>9038</v>
      </c>
      <c r="L118" s="44">
        <f>'Data Sheet'!K220</f>
        <v>10833</v>
      </c>
      <c r="M118" s="44">
        <f>'Data Sheet'!L220</f>
        <v>10925</v>
      </c>
      <c r="N118" s="44">
        <f>N8*(L118/L8)</f>
        <v>11591.310000000001</v>
      </c>
      <c r="O118" s="44">
        <f>O8*(N118/N8)</f>
        <v>12750.441000000004</v>
      </c>
      <c r="P118" s="44">
        <f t="shared" ref="P118:R118" si="149">P8*(O118/O8)</f>
        <v>14152.989510000005</v>
      </c>
      <c r="Q118" s="44">
        <f t="shared" si="149"/>
        <v>15780.583303650004</v>
      </c>
      <c r="R118" s="44">
        <f t="shared" si="149"/>
        <v>17674.253300088007</v>
      </c>
    </row>
    <row r="119" spans="1:18" x14ac:dyDescent="0.35">
      <c r="B119" t="s">
        <v>118</v>
      </c>
      <c r="C119" s="44">
        <f>'Data Sheet'!B221</f>
        <v>2347</v>
      </c>
      <c r="D119" s="44">
        <f>'Data Sheet'!C221</f>
        <v>1767</v>
      </c>
      <c r="E119" s="44">
        <f>'Data Sheet'!D221</f>
        <v>5424</v>
      </c>
      <c r="F119" s="44">
        <f>'Data Sheet'!E221</f>
        <v>5800</v>
      </c>
      <c r="G119" s="44">
        <f>'Data Sheet'!F221</f>
        <v>-33034</v>
      </c>
      <c r="H119" s="44">
        <f>'Data Sheet'!G221</f>
        <v>-992</v>
      </c>
      <c r="I119" s="44">
        <f>'Data Sheet'!H221</f>
        <v>-312</v>
      </c>
      <c r="J119" s="44">
        <f>'Data Sheet'!I221</f>
        <v>-4921</v>
      </c>
      <c r="K119" s="44">
        <f>'Data Sheet'!J221</f>
        <v>1006</v>
      </c>
      <c r="L119" s="44">
        <f>'Data Sheet'!K221</f>
        <v>-2227</v>
      </c>
      <c r="M119" s="44">
        <f>'Data Sheet'!L221</f>
        <v>-2899</v>
      </c>
      <c r="N119" s="44" t="s">
        <v>43</v>
      </c>
      <c r="O119" s="44" t="s">
        <v>43</v>
      </c>
      <c r="P119" s="44" t="s">
        <v>43</v>
      </c>
      <c r="Q119" s="44" t="s">
        <v>43</v>
      </c>
      <c r="R119" s="44" t="s">
        <v>43</v>
      </c>
    </row>
    <row r="120" spans="1:18" x14ac:dyDescent="0.35">
      <c r="B120" t="s">
        <v>244</v>
      </c>
      <c r="C120" s="44"/>
      <c r="D120" s="44"/>
      <c r="E120" s="44"/>
      <c r="F120" s="44"/>
      <c r="G120" s="44"/>
      <c r="H120" s="44"/>
      <c r="I120" s="44"/>
      <c r="J120" s="44"/>
      <c r="K120" s="44"/>
      <c r="L120" s="44"/>
      <c r="M120" s="44"/>
    </row>
    <row r="121" spans="1:18" x14ac:dyDescent="0.35">
      <c r="B121" t="s">
        <v>119</v>
      </c>
      <c r="C121" s="44">
        <f>'Data Sheet'!B222</f>
        <v>-4232</v>
      </c>
      <c r="D121" s="44">
        <f>'Data Sheet'!C222</f>
        <v>417</v>
      </c>
      <c r="E121" s="44">
        <f>'Data Sheet'!D222</f>
        <v>527</v>
      </c>
      <c r="F121" s="44">
        <f>'Data Sheet'!E222</f>
        <v>-2093</v>
      </c>
      <c r="G121" s="44">
        <f>'Data Sheet'!F222</f>
        <v>-5322</v>
      </c>
      <c r="H121" s="44">
        <f>'Data Sheet'!G222</f>
        <v>245</v>
      </c>
      <c r="I121" s="44">
        <f>'Data Sheet'!H222</f>
        <v>6917</v>
      </c>
      <c r="J121" s="44">
        <f>'Data Sheet'!I222</f>
        <v>-10125</v>
      </c>
      <c r="K121" s="44">
        <f>'Data Sheet'!J222</f>
        <v>-1823</v>
      </c>
      <c r="L121" s="44">
        <f>'Data Sheet'!K222</f>
        <v>-1688</v>
      </c>
      <c r="M121" s="44">
        <f>'Data Sheet'!L222</f>
        <v>592</v>
      </c>
      <c r="N121" s="44">
        <f>(N67+N68)-(L67+L68)</f>
        <v>4268.9499999999971</v>
      </c>
      <c r="O121" s="44">
        <f>O67+O68-(N67+N68)</f>
        <v>6525.3950000000041</v>
      </c>
      <c r="P121" s="44">
        <f t="shared" ref="P121:R121" si="150">P67+P68-(O67+O68)</f>
        <v>7895.727950000015</v>
      </c>
      <c r="Q121" s="44">
        <f t="shared" si="150"/>
        <v>9162.633389249997</v>
      </c>
      <c r="R121" s="44">
        <f t="shared" si="150"/>
        <v>10660.524760710003</v>
      </c>
    </row>
    <row r="122" spans="1:18" x14ac:dyDescent="0.35">
      <c r="B122" t="s">
        <v>120</v>
      </c>
      <c r="C122" s="44">
        <f>'Data Sheet'!B223</f>
        <v>-76</v>
      </c>
      <c r="D122" s="44">
        <f>'Data Sheet'!C223</f>
        <v>-238</v>
      </c>
      <c r="E122" s="44">
        <f>'Data Sheet'!D223</f>
        <v>217</v>
      </c>
      <c r="F122" s="44">
        <f>'Data Sheet'!E223</f>
        <v>-2723</v>
      </c>
      <c r="G122" s="44">
        <f>'Data Sheet'!F223</f>
        <v>828</v>
      </c>
      <c r="H122" s="44">
        <f>'Data Sheet'!G223</f>
        <v>-289</v>
      </c>
      <c r="I122" s="44">
        <f>'Data Sheet'!H223</f>
        <v>-127</v>
      </c>
      <c r="J122" s="44">
        <f>'Data Sheet'!I223</f>
        <v>-2642</v>
      </c>
      <c r="K122" s="44">
        <f>'Data Sheet'!J223</f>
        <v>1484</v>
      </c>
      <c r="L122" s="44">
        <f>'Data Sheet'!K223</f>
        <v>-1618</v>
      </c>
      <c r="M122" s="44">
        <f>'Data Sheet'!L223</f>
        <v>52</v>
      </c>
      <c r="N122" s="44">
        <f>N70-L70</f>
        <v>386.31887829427069</v>
      </c>
      <c r="O122" s="44">
        <f>O70-N70</f>
        <v>671.73188782942907</v>
      </c>
      <c r="P122" s="44">
        <f t="shared" ref="P122:R122" si="151">P70-O70</f>
        <v>-1289.0507661236998</v>
      </c>
      <c r="Q122" s="44">
        <f t="shared" si="151"/>
        <v>156</v>
      </c>
      <c r="R122" s="44">
        <f t="shared" si="151"/>
        <v>750.72000000000025</v>
      </c>
    </row>
    <row r="123" spans="1:18" x14ac:dyDescent="0.35">
      <c r="B123" t="s">
        <v>121</v>
      </c>
      <c r="C123" s="44">
        <f>'Data Sheet'!B224</f>
        <v>5938</v>
      </c>
      <c r="D123" s="44">
        <f>'Data Sheet'!C224</f>
        <v>5001</v>
      </c>
      <c r="E123" s="44">
        <f>'Data Sheet'!D224</f>
        <v>2117</v>
      </c>
      <c r="F123" s="44">
        <f>'Data Sheet'!E224</f>
        <v>8966</v>
      </c>
      <c r="G123" s="44">
        <f>'Data Sheet'!F224</f>
        <v>9175</v>
      </c>
      <c r="H123" s="44">
        <f>'Data Sheet'!G224</f>
        <v>-1923</v>
      </c>
      <c r="I123" s="44">
        <f>'Data Sheet'!H224</f>
        <v>-4062</v>
      </c>
      <c r="J123" s="44">
        <f>'Data Sheet'!I224</f>
        <v>12326</v>
      </c>
      <c r="K123" s="44">
        <f>'Data Sheet'!J224</f>
        <v>9448</v>
      </c>
      <c r="L123" s="44">
        <f>'Data Sheet'!K224</f>
        <v>-1889</v>
      </c>
      <c r="M123" s="44">
        <f>'Data Sheet'!L224</f>
        <v>-356</v>
      </c>
      <c r="N123" s="44">
        <f>N84-L84</f>
        <v>3820.535664015566</v>
      </c>
      <c r="O123" s="44">
        <f>O84-N84</f>
        <v>6643.1535664015828</v>
      </c>
      <c r="P123" s="44">
        <f t="shared" ref="P123:R123" si="152">P84-O84</f>
        <v>8038.2158153458877</v>
      </c>
      <c r="Q123" s="44">
        <f t="shared" si="152"/>
        <v>9327.9840802627441</v>
      </c>
      <c r="R123" s="44">
        <f t="shared" si="152"/>
        <v>10852.906695123107</v>
      </c>
    </row>
    <row r="124" spans="1:18" x14ac:dyDescent="0.35">
      <c r="B124" t="s">
        <v>122</v>
      </c>
      <c r="C124" s="44">
        <f>'Data Sheet'!B225</f>
        <v>1460</v>
      </c>
      <c r="D124" s="44">
        <f>'Data Sheet'!C225</f>
        <v>1042</v>
      </c>
      <c r="E124" s="44">
        <f>'Data Sheet'!D225</f>
        <v>-1554</v>
      </c>
      <c r="F124" s="44">
        <f>'Data Sheet'!E225</f>
        <v>-593</v>
      </c>
      <c r="G124" s="44">
        <f>'Data Sheet'!F225</f>
        <v>-3</v>
      </c>
      <c r="H124" s="44">
        <f>'Data Sheet'!G225</f>
        <v>-625</v>
      </c>
      <c r="I124" s="44">
        <f>'Data Sheet'!H225</f>
        <v>2081</v>
      </c>
      <c r="J124" s="44" t="str">
        <f>'Data Sheet'!I225</f>
        <v>-</v>
      </c>
      <c r="K124" s="44" t="str">
        <f>'Data Sheet'!J225</f>
        <v>-</v>
      </c>
      <c r="L124" s="44" t="str">
        <f>'Data Sheet'!K225</f>
        <v>-</v>
      </c>
      <c r="M124" s="44" t="str">
        <f>'Data Sheet'!L225</f>
        <v>-</v>
      </c>
      <c r="N124" s="44">
        <f>N88-L88</f>
        <v>0</v>
      </c>
      <c r="O124" s="44">
        <f>O88-N88</f>
        <v>0</v>
      </c>
      <c r="P124" s="44">
        <f t="shared" ref="P124:R124" si="153">P88-O88</f>
        <v>0</v>
      </c>
      <c r="Q124" s="44">
        <f t="shared" si="153"/>
        <v>0</v>
      </c>
      <c r="R124" s="44">
        <f t="shared" si="153"/>
        <v>0</v>
      </c>
    </row>
    <row r="125" spans="1:18" x14ac:dyDescent="0.35">
      <c r="B125" t="s">
        <v>123</v>
      </c>
      <c r="C125" s="44">
        <f>'Data Sheet'!B226</f>
        <v>3957</v>
      </c>
      <c r="D125" s="44">
        <f>'Data Sheet'!C226</f>
        <v>5040</v>
      </c>
      <c r="E125" s="44">
        <f>'Data Sheet'!D226</f>
        <v>-902</v>
      </c>
      <c r="F125" s="44">
        <f>'Data Sheet'!E226</f>
        <v>-8480</v>
      </c>
      <c r="G125" s="44">
        <f>'Data Sheet'!F226</f>
        <v>30016</v>
      </c>
      <c r="H125" s="44">
        <f>'Data Sheet'!G226</f>
        <v>-896</v>
      </c>
      <c r="I125" s="44">
        <f>'Data Sheet'!H226</f>
        <v>881</v>
      </c>
      <c r="J125" s="44">
        <f>'Data Sheet'!I226</f>
        <v>-4470</v>
      </c>
      <c r="K125" s="44">
        <f>'Data Sheet'!J226</f>
        <v>-7909</v>
      </c>
      <c r="L125" s="44">
        <f>'Data Sheet'!K226</f>
        <v>-1382</v>
      </c>
      <c r="M125" s="44">
        <f>'Data Sheet'!L226</f>
        <v>-4245</v>
      </c>
      <c r="N125" s="44">
        <f>N71-L71</f>
        <v>1028.6500000000015</v>
      </c>
      <c r="O125" s="44">
        <f>O71-N71</f>
        <v>1572.3650000000016</v>
      </c>
      <c r="P125" s="44">
        <f t="shared" ref="P125:R125" si="154">P71-O71</f>
        <v>1902.5616500000033</v>
      </c>
      <c r="Q125" s="44">
        <f t="shared" si="154"/>
        <v>2207.8363147500022</v>
      </c>
      <c r="R125" s="44">
        <f t="shared" si="154"/>
        <v>2568.7695557700026</v>
      </c>
    </row>
    <row r="126" spans="1:18" x14ac:dyDescent="0.35">
      <c r="B126" s="52" t="s">
        <v>240</v>
      </c>
      <c r="C126" s="53">
        <f t="shared" ref="C126:M126" si="155">SUM(C115:C125)</f>
        <v>59713</v>
      </c>
      <c r="D126" s="53">
        <f t="shared" si="155"/>
        <v>81266</v>
      </c>
      <c r="E126" s="53">
        <f t="shared" si="155"/>
        <v>66231</v>
      </c>
      <c r="F126" s="53">
        <f t="shared" si="155"/>
        <v>64225</v>
      </c>
      <c r="G126" s="53">
        <f t="shared" si="155"/>
        <v>77434</v>
      </c>
      <c r="H126" s="53">
        <f t="shared" si="155"/>
        <v>69391</v>
      </c>
      <c r="I126" s="53">
        <f t="shared" si="155"/>
        <v>80674</v>
      </c>
      <c r="J126" s="53">
        <f t="shared" si="155"/>
        <v>104038</v>
      </c>
      <c r="K126" s="53">
        <f t="shared" si="155"/>
        <v>122151</v>
      </c>
      <c r="L126" s="53">
        <f t="shared" si="155"/>
        <v>110543</v>
      </c>
      <c r="M126" s="53">
        <f t="shared" si="155"/>
        <v>116433</v>
      </c>
      <c r="N126" s="53">
        <f>N115+N116-N121-N122+N123-N124-N125+N118</f>
        <v>129526.11540028127</v>
      </c>
      <c r="O126" s="53">
        <f t="shared" ref="O126:R126" si="156">O115+O116-O121-O122+O123-O124-O125+O118</f>
        <v>142715.60359167904</v>
      </c>
      <c r="P126" s="53">
        <f t="shared" si="156"/>
        <v>161040.78037410919</v>
      </c>
      <c r="Q126" s="53">
        <f t="shared" si="156"/>
        <v>179236.99114412258</v>
      </c>
      <c r="R126" s="53">
        <f t="shared" si="156"/>
        <v>202078.76289353101</v>
      </c>
    </row>
    <row r="127" spans="1:18" x14ac:dyDescent="0.35">
      <c r="F127" s="44"/>
      <c r="I127" s="44"/>
      <c r="J127" s="44"/>
      <c r="K127" s="44"/>
      <c r="L127" s="44"/>
    </row>
    <row r="128" spans="1:18" x14ac:dyDescent="0.35">
      <c r="B128" t="s">
        <v>125</v>
      </c>
      <c r="C128" s="44">
        <f>IFERROR('Data Sheet'!B229,0)</f>
        <v>-9571</v>
      </c>
      <c r="D128" s="44">
        <f>IFERROR('Data Sheet'!C229,0)</f>
        <v>-11247</v>
      </c>
      <c r="E128" s="44">
        <f>IFERROR('Data Sheet'!D229,0)</f>
        <v>-12734</v>
      </c>
      <c r="F128" s="44">
        <f>IFERROR('Data Sheet'!E229,0)</f>
        <v>-12451</v>
      </c>
      <c r="G128" s="44">
        <f>IFERROR('Data Sheet'!F229,0)</f>
        <v>-13313</v>
      </c>
      <c r="H128" s="44">
        <f>IFERROR('Data Sheet'!G229,0)</f>
        <v>-10495</v>
      </c>
      <c r="I128" s="44">
        <f>IFERROR('Data Sheet'!H229,0)</f>
        <v>-7309</v>
      </c>
      <c r="J128" s="44">
        <f>IFERROR('Data Sheet'!I229,0)</f>
        <v>-11085</v>
      </c>
      <c r="K128" s="44">
        <f>IFERROR('Data Sheet'!J229,0)</f>
        <v>-10708</v>
      </c>
      <c r="L128" s="44">
        <f>IFERROR('Data Sheet'!K229,0)</f>
        <v>-10959</v>
      </c>
      <c r="M128" s="44">
        <f>IFERROR('Data Sheet'!L229,0)</f>
        <v>-9564</v>
      </c>
      <c r="N128" s="44">
        <v>-11258</v>
      </c>
      <c r="O128" s="44">
        <v>-12768</v>
      </c>
      <c r="P128" s="44">
        <v>-13282</v>
      </c>
      <c r="Q128" s="44">
        <v>-15576</v>
      </c>
      <c r="R128" s="44">
        <v>-18765</v>
      </c>
    </row>
    <row r="129" spans="2:19" x14ac:dyDescent="0.35">
      <c r="B129" t="s">
        <v>126</v>
      </c>
      <c r="C129" s="44">
        <f>IFERROR('Data Sheet'!B230,0)</f>
        <v>-3765</v>
      </c>
      <c r="D129" s="44">
        <f>IFERROR('Data Sheet'!C230,0)</f>
        <v>-343</v>
      </c>
      <c r="E129" s="44">
        <f>IFERROR('Data Sheet'!D230,0)</f>
        <v>-297</v>
      </c>
      <c r="F129" s="44">
        <f>IFERROR('Data Sheet'!E230,0)</f>
        <v>-329</v>
      </c>
      <c r="G129" s="44">
        <f>IFERROR('Data Sheet'!F230,0)</f>
        <v>-721</v>
      </c>
      <c r="H129" s="44">
        <f>IFERROR('Data Sheet'!G230,0)</f>
        <v>-624</v>
      </c>
      <c r="I129" s="44">
        <f>IFERROR('Data Sheet'!H230,0)</f>
        <v>-1524</v>
      </c>
      <c r="J129" s="44" t="str">
        <f>IFERROR('Data Sheet'!I230,0)</f>
        <v>-</v>
      </c>
      <c r="K129" s="44" t="str">
        <f>IFERROR('Data Sheet'!J230,0)</f>
        <v>-</v>
      </c>
      <c r="L129" s="44" t="str">
        <f>IFERROR('Data Sheet'!K230,0)</f>
        <v>-</v>
      </c>
      <c r="M129" s="44" t="s">
        <v>43</v>
      </c>
      <c r="N129" s="44" t="s">
        <v>43</v>
      </c>
      <c r="O129" s="44" t="s">
        <v>43</v>
      </c>
      <c r="P129" s="44" t="s">
        <v>43</v>
      </c>
      <c r="Q129" s="44" t="s">
        <v>43</v>
      </c>
      <c r="R129" s="44" t="s">
        <v>43</v>
      </c>
    </row>
    <row r="130" spans="2:19" x14ac:dyDescent="0.35">
      <c r="B130" t="s">
        <v>127</v>
      </c>
      <c r="C130" s="44" t="str">
        <f>IFERROR('Data Sheet'!B231,0)</f>
        <v>-</v>
      </c>
      <c r="D130" s="44" t="str">
        <f>IFERROR('Data Sheet'!C231,0)</f>
        <v>-</v>
      </c>
      <c r="E130" s="44" t="str">
        <f>IFERROR('Data Sheet'!D231,0)</f>
        <v>-</v>
      </c>
      <c r="F130" s="44" t="str">
        <f>IFERROR('Data Sheet'!E231,0)</f>
        <v>-</v>
      </c>
      <c r="G130" s="44" t="str">
        <f>IFERROR('Data Sheet'!F231,0)</f>
        <v>-</v>
      </c>
      <c r="H130" s="44" t="str">
        <f>IFERROR('Data Sheet'!G231,0)</f>
        <v>-</v>
      </c>
      <c r="I130" s="44" t="str">
        <f>IFERROR('Data Sheet'!H231,0)</f>
        <v>-</v>
      </c>
      <c r="J130" s="44" t="str">
        <f>IFERROR('Data Sheet'!I231,0)</f>
        <v>-</v>
      </c>
      <c r="K130" s="44" t="str">
        <f>IFERROR('Data Sheet'!J231,0)</f>
        <v>-</v>
      </c>
      <c r="L130" s="44" t="str">
        <f>IFERROR('Data Sheet'!K231,0)</f>
        <v>-</v>
      </c>
      <c r="M130" s="44" t="s">
        <v>43</v>
      </c>
      <c r="N130" s="44" t="s">
        <v>43</v>
      </c>
      <c r="O130" s="44" t="s">
        <v>43</v>
      </c>
      <c r="P130" s="44" t="s">
        <v>43</v>
      </c>
      <c r="Q130" s="44" t="s">
        <v>43</v>
      </c>
      <c r="R130" s="44" t="s">
        <v>43</v>
      </c>
    </row>
    <row r="131" spans="2:19" x14ac:dyDescent="0.35">
      <c r="B131" t="s">
        <v>282</v>
      </c>
      <c r="C131" s="44">
        <f>IFERROR('Data Sheet'!B232,0)</f>
        <v>-242</v>
      </c>
      <c r="D131" s="44">
        <f>IFERROR('Data Sheet'!C232,0)</f>
        <v>-241</v>
      </c>
      <c r="E131" s="44" t="str">
        <f>IFERROR('Data Sheet'!D232,0)</f>
        <v>-</v>
      </c>
      <c r="F131" s="44" t="str">
        <f>IFERROR('Data Sheet'!E232,0)</f>
        <v>-</v>
      </c>
      <c r="G131" s="44" t="str">
        <f>IFERROR('Data Sheet'!F232,0)</f>
        <v>-</v>
      </c>
      <c r="H131" s="44" t="str">
        <f>IFERROR('Data Sheet'!G232,0)</f>
        <v>-</v>
      </c>
      <c r="I131" s="44" t="str">
        <f>IFERROR('Data Sheet'!H232,0)</f>
        <v>-</v>
      </c>
      <c r="J131" s="44" t="str">
        <f>IFERROR('Data Sheet'!I232,0)</f>
        <v>-</v>
      </c>
      <c r="K131" s="44" t="str">
        <f>IFERROR('Data Sheet'!J232,0)</f>
        <v>-</v>
      </c>
      <c r="L131" s="44" t="str">
        <f>IFERROR('Data Sheet'!K232,0)</f>
        <v>-</v>
      </c>
      <c r="M131" s="44" t="s">
        <v>43</v>
      </c>
      <c r="N131" s="44" t="s">
        <v>43</v>
      </c>
      <c r="O131" s="44" t="s">
        <v>43</v>
      </c>
      <c r="P131" s="44" t="s">
        <v>43</v>
      </c>
      <c r="Q131" s="44" t="s">
        <v>43</v>
      </c>
      <c r="R131" s="44" t="s">
        <v>43</v>
      </c>
    </row>
    <row r="132" spans="2:19" x14ac:dyDescent="0.35">
      <c r="B132" t="s">
        <v>128</v>
      </c>
      <c r="C132" s="44">
        <f>IFERROR('Data Sheet'!B233,0)</f>
        <v>-9027</v>
      </c>
      <c r="D132" s="44">
        <f>IFERROR('Data Sheet'!C233,0)</f>
        <v>-44417</v>
      </c>
      <c r="E132" s="44">
        <f>IFERROR('Data Sheet'!D233,0)</f>
        <v>-32022</v>
      </c>
      <c r="F132" s="44">
        <f>IFERROR('Data Sheet'!E233,0)</f>
        <v>-33542</v>
      </c>
      <c r="G132" s="44">
        <f>IFERROR('Data Sheet'!F233,0)</f>
        <v>30845</v>
      </c>
      <c r="H132" s="44">
        <f>IFERROR('Data Sheet'!G233,0)</f>
        <v>58093</v>
      </c>
      <c r="I132" s="44">
        <f>IFERROR('Data Sheet'!H233,0)</f>
        <v>5453</v>
      </c>
      <c r="J132" s="44">
        <f>IFERROR('Data Sheet'!I233,0)</f>
        <v>-3075</v>
      </c>
      <c r="K132" s="44">
        <f>IFERROR('Data Sheet'!J233,0)</f>
        <v>-9560</v>
      </c>
      <c r="L132" s="44">
        <f>IFERROR('Data Sheet'!K233,0)</f>
        <v>16001</v>
      </c>
      <c r="M132" s="44">
        <f>IFERROR('Data Sheet'!L233,0)</f>
        <v>18121</v>
      </c>
      <c r="N132" s="44">
        <f>N65-L65</f>
        <v>2211.3000000000029</v>
      </c>
      <c r="O132" s="44">
        <f>O65-N65</f>
        <v>3380.1300000000047</v>
      </c>
      <c r="P132" s="44">
        <f t="shared" ref="P132:R132" si="157">P65-O65</f>
        <v>4089.9573000000019</v>
      </c>
      <c r="Q132" s="44">
        <f t="shared" si="157"/>
        <v>4746.2095394999997</v>
      </c>
      <c r="R132" s="44">
        <f t="shared" si="157"/>
        <v>5522.1116207400046</v>
      </c>
    </row>
    <row r="133" spans="2:19" x14ac:dyDescent="0.35">
      <c r="B133" t="s">
        <v>129</v>
      </c>
      <c r="C133" s="44" t="str">
        <f>IFERROR('Data Sheet'!B234,0)</f>
        <v>-</v>
      </c>
      <c r="D133" s="44" t="str">
        <f>IFERROR('Data Sheet'!C234,0)</f>
        <v>-</v>
      </c>
      <c r="E133" s="44" t="str">
        <f>IFERROR('Data Sheet'!D234,0)</f>
        <v>-</v>
      </c>
      <c r="F133" s="44" t="str">
        <f>IFERROR('Data Sheet'!E234,0)</f>
        <v>-</v>
      </c>
      <c r="G133" s="44" t="str">
        <f>IFERROR('Data Sheet'!F234,0)</f>
        <v>-</v>
      </c>
      <c r="H133" s="44" t="str">
        <f>IFERROR('Data Sheet'!G234,0)</f>
        <v>-</v>
      </c>
      <c r="I133" s="44" t="str">
        <f>IFERROR('Data Sheet'!H234,0)</f>
        <v>-</v>
      </c>
      <c r="J133" s="44" t="str">
        <f>IFERROR('Data Sheet'!I234,0)</f>
        <v>-</v>
      </c>
      <c r="K133" s="44" t="str">
        <f>IFERROR('Data Sheet'!J234,0)</f>
        <v>-</v>
      </c>
      <c r="L133" s="44" t="str">
        <f>IFERROR('Data Sheet'!K234,0)</f>
        <v>-</v>
      </c>
      <c r="M133" s="44" t="str">
        <f>IFERROR('Data Sheet'!L234,0)</f>
        <v>-</v>
      </c>
    </row>
    <row r="134" spans="2:19" x14ac:dyDescent="0.35">
      <c r="B134" t="s">
        <v>130</v>
      </c>
      <c r="C134" s="44">
        <f>IFERROR('Data Sheet'!B235,0)</f>
        <v>26</v>
      </c>
      <c r="D134" s="44">
        <f>IFERROR('Data Sheet'!C235,0)</f>
        <v>-26</v>
      </c>
      <c r="E134" s="44">
        <f>IFERROR('Data Sheet'!D235,0)</f>
        <v>-924</v>
      </c>
      <c r="F134" s="44">
        <f>IFERROR('Data Sheet'!E235,0)</f>
        <v>-124</v>
      </c>
      <c r="G134" s="44">
        <f>IFERROR('Data Sheet'!F235,0)</f>
        <v>-745</v>
      </c>
      <c r="H134" s="44">
        <f>IFERROR('Data Sheet'!G235,0)</f>
        <v>-1078</v>
      </c>
      <c r="I134" s="44">
        <f>IFERROR('Data Sheet'!H235,0)</f>
        <v>-909</v>
      </c>
      <c r="J134" s="44">
        <f>IFERROR('Data Sheet'!I235,0)</f>
        <v>-385</v>
      </c>
      <c r="K134" s="44">
        <f>IFERROR('Data Sheet'!J235,0)</f>
        <v>-2086</v>
      </c>
      <c r="L134" s="44">
        <f>IFERROR('Data Sheet'!K235,0)</f>
        <v>-1337</v>
      </c>
      <c r="M134" s="44">
        <f>IFERROR('Data Sheet'!L235,0)</f>
        <v>-1480</v>
      </c>
      <c r="N134" s="44">
        <f>N80-L80</f>
        <v>3786.7900000000009</v>
      </c>
      <c r="O134" s="44">
        <f>O80-N80</f>
        <v>5788.3790000000081</v>
      </c>
      <c r="P134" s="44">
        <f t="shared" ref="P134:R134" si="158">P80-O80</f>
        <v>7003.9385900000052</v>
      </c>
      <c r="Q134" s="44">
        <f t="shared" si="158"/>
        <v>8127.7523728499946</v>
      </c>
      <c r="R134" s="44">
        <f t="shared" si="158"/>
        <v>9456.4631955420045</v>
      </c>
    </row>
    <row r="135" spans="2:19" x14ac:dyDescent="0.35">
      <c r="B135" s="52" t="s">
        <v>241</v>
      </c>
      <c r="C135" s="53">
        <f t="shared" ref="C135:G135" si="159">SUM(C128:C134)</f>
        <v>-22579</v>
      </c>
      <c r="D135" s="53">
        <f t="shared" si="159"/>
        <v>-56274</v>
      </c>
      <c r="E135" s="53">
        <f t="shared" si="159"/>
        <v>-45977</v>
      </c>
      <c r="F135" s="53">
        <f t="shared" si="159"/>
        <v>-46446</v>
      </c>
      <c r="G135" s="53">
        <f t="shared" si="159"/>
        <v>16066</v>
      </c>
      <c r="H135" s="53">
        <f t="shared" ref="H135:M135" si="160">SUM(H128:H134)</f>
        <v>45896</v>
      </c>
      <c r="I135" s="53">
        <f t="shared" si="160"/>
        <v>-4289</v>
      </c>
      <c r="J135" s="53">
        <f t="shared" si="160"/>
        <v>-14545</v>
      </c>
      <c r="K135" s="53">
        <f t="shared" si="160"/>
        <v>-22354</v>
      </c>
      <c r="L135" s="53">
        <f t="shared" si="160"/>
        <v>3705</v>
      </c>
      <c r="M135" s="53">
        <f t="shared" si="160"/>
        <v>7077</v>
      </c>
      <c r="N135" s="53">
        <f>N128-N132-N134</f>
        <v>-17256.090000000004</v>
      </c>
      <c r="O135" s="53">
        <f t="shared" ref="O135:R135" si="161">O128-O132-O134</f>
        <v>-21936.509000000013</v>
      </c>
      <c r="P135" s="53">
        <f t="shared" si="161"/>
        <v>-24375.895890000007</v>
      </c>
      <c r="Q135" s="53">
        <f t="shared" si="161"/>
        <v>-28449.961912349994</v>
      </c>
      <c r="R135" s="53">
        <f t="shared" si="161"/>
        <v>-33743.574816282009</v>
      </c>
    </row>
    <row r="137" spans="2:19" x14ac:dyDescent="0.35">
      <c r="B137" t="s">
        <v>132</v>
      </c>
      <c r="C137" s="44">
        <f>IFERROR('Data Sheet'!B238,0)</f>
        <v>6306</v>
      </c>
      <c r="D137" s="44">
        <f>IFERROR('Data Sheet'!C238,0)</f>
        <v>2191</v>
      </c>
      <c r="E137" s="44" t="str">
        <f>IFERROR('Data Sheet'!D238,0)</f>
        <v>-</v>
      </c>
      <c r="F137" s="44">
        <f>IFERROR('Data Sheet'!E238,0)</f>
        <v>3852</v>
      </c>
      <c r="G137" s="44" t="str">
        <f>IFERROR('Data Sheet'!F238,0)</f>
        <v>-</v>
      </c>
      <c r="H137" s="44" t="str">
        <f>IFERROR('Data Sheet'!G238,0)</f>
        <v>-</v>
      </c>
      <c r="I137" s="44" t="str">
        <f>IFERROR('Data Sheet'!H238,0)</f>
        <v>-</v>
      </c>
      <c r="J137" s="44">
        <f>IFERROR('Data Sheet'!I238,0)</f>
        <v>1022</v>
      </c>
      <c r="K137" s="44">
        <f>IFERROR('Data Sheet'!J238,0)</f>
        <v>3955</v>
      </c>
      <c r="L137" s="44" t="str">
        <f>IFERROR('Data Sheet'!K238,0)</f>
        <v>-</v>
      </c>
      <c r="M137" s="44" t="str">
        <f>IFERROR('Data Sheet'!L238,0)</f>
        <v>-</v>
      </c>
      <c r="N137" s="44">
        <v>0</v>
      </c>
      <c r="O137" s="44">
        <f>O85-N85+(O86-N86)</f>
        <v>0</v>
      </c>
      <c r="P137" s="44">
        <f t="shared" ref="P137:R137" si="162">P85-O85+(P86-O86)</f>
        <v>0</v>
      </c>
      <c r="Q137" s="44">
        <f t="shared" si="162"/>
        <v>0</v>
      </c>
      <c r="R137" s="44">
        <f t="shared" si="162"/>
        <v>0</v>
      </c>
    </row>
    <row r="138" spans="2:19" x14ac:dyDescent="0.35">
      <c r="B138" t="s">
        <v>133</v>
      </c>
      <c r="C138" s="44">
        <f>IFERROR('Data Sheet'!B239,0)</f>
        <v>11960</v>
      </c>
      <c r="D138" s="44">
        <f>IFERROR('Data Sheet'!C239,0)</f>
        <v>27114</v>
      </c>
      <c r="E138" s="44">
        <f>IFERROR('Data Sheet'!D239,0)</f>
        <v>24954</v>
      </c>
      <c r="F138" s="44">
        <f>IFERROR('Data Sheet'!E239,0)</f>
        <v>28662</v>
      </c>
      <c r="G138" s="44">
        <f>IFERROR('Data Sheet'!F239,0)</f>
        <v>6969</v>
      </c>
      <c r="H138" s="44">
        <f>IFERROR('Data Sheet'!G239,0)</f>
        <v>6963</v>
      </c>
      <c r="I138" s="44">
        <f>IFERROR('Data Sheet'!H239,0)</f>
        <v>16091</v>
      </c>
      <c r="J138" s="44">
        <f>IFERROR('Data Sheet'!I239,0)</f>
        <v>20393</v>
      </c>
      <c r="K138" s="44">
        <f>IFERROR('Data Sheet'!J239,0)</f>
        <v>5465</v>
      </c>
      <c r="L138" s="44">
        <f>IFERROR('Data Sheet'!K239,0)</f>
        <v>5228</v>
      </c>
      <c r="M138" s="44" t="str">
        <f>IFERROR('Data Sheet'!L239,0)</f>
        <v>-</v>
      </c>
      <c r="N138" s="44">
        <f>N92-L92+(N96-L96)</f>
        <v>0</v>
      </c>
      <c r="O138" s="44">
        <f>O92-N92</f>
        <v>0</v>
      </c>
      <c r="P138" s="44">
        <f t="shared" ref="P138:R138" si="163">P92-O92</f>
        <v>10480.910000000003</v>
      </c>
      <c r="Q138" s="44">
        <f t="shared" si="163"/>
        <v>12162.619649999993</v>
      </c>
      <c r="R138" s="44">
        <f t="shared" si="163"/>
        <v>14150.943558000014</v>
      </c>
    </row>
    <row r="139" spans="2:19" x14ac:dyDescent="0.35">
      <c r="B139" t="s">
        <v>134</v>
      </c>
      <c r="C139" s="44" t="str">
        <f>IFERROR('Data Sheet'!B240,0)</f>
        <v>-</v>
      </c>
      <c r="D139" s="44" t="str">
        <f>IFERROR('Data Sheet'!C240,0)</f>
        <v>-</v>
      </c>
      <c r="E139" s="44">
        <f>IFERROR('Data Sheet'!D240,0)</f>
        <v>-397</v>
      </c>
      <c r="F139" s="44" t="str">
        <f>IFERROR('Data Sheet'!E240,0)</f>
        <v>-</v>
      </c>
      <c r="G139" s="44">
        <f>IFERROR('Data Sheet'!F240,0)</f>
        <v>-37</v>
      </c>
      <c r="H139" s="44">
        <f>IFERROR('Data Sheet'!G240,0)</f>
        <v>-5977</v>
      </c>
      <c r="I139" s="44">
        <f>IFERROR('Data Sheet'!H240,0)</f>
        <v>-963</v>
      </c>
      <c r="J139" s="44" t="str">
        <f>IFERROR('Data Sheet'!I240,0)</f>
        <v>-</v>
      </c>
      <c r="K139" s="44" t="str">
        <f>IFERROR('Data Sheet'!J240,0)</f>
        <v>-</v>
      </c>
      <c r="L139" s="44">
        <f>IFERROR('Data Sheet'!K240,0)</f>
        <v>-3978</v>
      </c>
      <c r="M139" s="44" t="str">
        <f>IFERROR('Data Sheet'!L240,0)</f>
        <v>-</v>
      </c>
      <c r="N139" s="44">
        <f>N85-L85+(N86-L86)+(N87-L87)</f>
        <v>-3987</v>
      </c>
      <c r="O139" s="44" t="s">
        <v>43</v>
      </c>
      <c r="P139" s="44" t="s">
        <v>43</v>
      </c>
      <c r="Q139" s="44" t="s">
        <v>43</v>
      </c>
      <c r="R139" s="44" t="s">
        <v>43</v>
      </c>
    </row>
    <row r="140" spans="2:19" x14ac:dyDescent="0.35">
      <c r="B140" t="s">
        <v>135</v>
      </c>
      <c r="C140" s="44" t="str">
        <f>IFERROR('Data Sheet'!B241,0)</f>
        <v>-</v>
      </c>
      <c r="D140" s="44" t="str">
        <f>IFERROR('Data Sheet'!C241,0)</f>
        <v>-</v>
      </c>
      <c r="E140" s="44">
        <f>IFERROR('Data Sheet'!D241,0)</f>
        <v>-2500</v>
      </c>
      <c r="F140" s="44">
        <f>IFERROR('Data Sheet'!E241,0)</f>
        <v>-3500</v>
      </c>
      <c r="G140" s="44">
        <f>IFERROR('Data Sheet'!F241,0)</f>
        <v>-6500</v>
      </c>
      <c r="H140" s="44">
        <f>IFERROR('Data Sheet'!G241,0)</f>
        <v>-8805</v>
      </c>
      <c r="I140" s="44">
        <f>IFERROR('Data Sheet'!H241,0)</f>
        <v>-12629</v>
      </c>
      <c r="J140" s="44">
        <f>IFERROR('Data Sheet'!I241,0)</f>
        <v>-8750</v>
      </c>
      <c r="K140" s="44">
        <f>IFERROR('Data Sheet'!J241,0)</f>
        <v>-9543</v>
      </c>
      <c r="L140" s="44">
        <f>IFERROR('Data Sheet'!K241,0)</f>
        <v>-11151</v>
      </c>
      <c r="M140" s="44" t="str">
        <f>IFERROR('Data Sheet'!L241,0)</f>
        <v>-</v>
      </c>
      <c r="N140" s="44" t="s">
        <v>43</v>
      </c>
      <c r="O140" s="44" t="s">
        <v>43</v>
      </c>
      <c r="P140" s="44" t="s">
        <v>43</v>
      </c>
      <c r="Q140" s="44" t="s">
        <v>43</v>
      </c>
      <c r="R140" s="44" t="s">
        <v>43</v>
      </c>
    </row>
    <row r="141" spans="2:19" x14ac:dyDescent="0.35">
      <c r="B141" t="s">
        <v>136</v>
      </c>
      <c r="C141" s="44">
        <f>IFERROR('Data Sheet'!B242,0)</f>
        <v>730</v>
      </c>
      <c r="D141" s="44">
        <f>IFERROR('Data Sheet'!C242,0)</f>
        <v>543</v>
      </c>
      <c r="E141" s="44">
        <f>IFERROR('Data Sheet'!D242,0)</f>
        <v>495</v>
      </c>
      <c r="F141" s="44">
        <f>IFERROR('Data Sheet'!E242,0)</f>
        <v>555</v>
      </c>
      <c r="G141" s="44">
        <f>IFERROR('Data Sheet'!F242,0)</f>
        <v>669</v>
      </c>
      <c r="H141" s="44">
        <f>IFERROR('Data Sheet'!G242,0)</f>
        <v>781</v>
      </c>
      <c r="I141" s="44" t="str">
        <f>IFERROR('Data Sheet'!H242,0)</f>
        <v>-</v>
      </c>
      <c r="J141" s="44" t="str">
        <f>IFERROR('Data Sheet'!I242,0)</f>
        <v>-</v>
      </c>
      <c r="K141" s="44" t="str">
        <f>IFERROR('Data Sheet'!J242,0)</f>
        <v>-</v>
      </c>
      <c r="L141" s="44" t="str">
        <f>IFERROR('Data Sheet'!K242,0)</f>
        <v>-</v>
      </c>
      <c r="M141" s="44" t="str">
        <f>IFERROR('Data Sheet'!L242,0)</f>
        <v>-</v>
      </c>
      <c r="N141" s="44"/>
      <c r="O141" s="44" t="s">
        <v>43</v>
      </c>
      <c r="P141" s="44" t="s">
        <v>43</v>
      </c>
      <c r="Q141" s="44" t="s">
        <v>43</v>
      </c>
      <c r="R141" s="44" t="s">
        <v>43</v>
      </c>
    </row>
    <row r="142" spans="2:19" x14ac:dyDescent="0.35">
      <c r="B142" t="s">
        <v>137</v>
      </c>
      <c r="C142" s="44">
        <f>IFERROR('Data Sheet'!B243,0)</f>
        <v>-46158</v>
      </c>
      <c r="D142" s="44">
        <f>IFERROR('Data Sheet'!C243,0)</f>
        <v>-36752</v>
      </c>
      <c r="E142" s="44">
        <f>IFERROR('Data Sheet'!D243,0)</f>
        <v>-31292</v>
      </c>
      <c r="F142" s="44">
        <f>IFERROR('Data Sheet'!E243,0)</f>
        <v>-34774</v>
      </c>
      <c r="G142" s="44">
        <f>IFERROR('Data Sheet'!F243,0)</f>
        <v>-75265</v>
      </c>
      <c r="H142" s="44">
        <f>IFERROR('Data Sheet'!G243,0)</f>
        <v>-69714</v>
      </c>
      <c r="I142" s="44">
        <f>IFERROR('Data Sheet'!H243,0)</f>
        <v>-75992</v>
      </c>
      <c r="J142" s="44">
        <f>IFERROR('Data Sheet'!I243,0)</f>
        <v>-92527</v>
      </c>
      <c r="K142" s="44">
        <f>IFERROR('Data Sheet'!J243,0)</f>
        <v>-95625</v>
      </c>
      <c r="L142" s="44">
        <f>IFERROR('Data Sheet'!K243,0)</f>
        <v>-82981</v>
      </c>
      <c r="M142" s="44">
        <f>IFERROR('Data Sheet'!L243,0)</f>
        <v>-83920</v>
      </c>
      <c r="N142" s="44">
        <f>L142</f>
        <v>-82981</v>
      </c>
      <c r="O142" s="44">
        <f>N142*(1+3%)</f>
        <v>-85470.430000000008</v>
      </c>
      <c r="P142" s="44">
        <f t="shared" ref="P142:R142" si="164">O142*(1+3%)</f>
        <v>-88034.542900000015</v>
      </c>
      <c r="Q142" s="44">
        <f t="shared" si="164"/>
        <v>-90675.579187000025</v>
      </c>
      <c r="R142" s="44">
        <f t="shared" si="164"/>
        <v>-93395.846562610022</v>
      </c>
      <c r="S142" s="44"/>
    </row>
    <row r="143" spans="2:19" x14ac:dyDescent="0.35">
      <c r="B143" t="s">
        <v>138</v>
      </c>
      <c r="C143" s="44">
        <f>IFERROR('Data Sheet'!B244,0)</f>
        <v>-11126</v>
      </c>
      <c r="D143" s="44">
        <f>IFERROR('Data Sheet'!C244,0)</f>
        <v>-11561</v>
      </c>
      <c r="E143" s="44">
        <f>IFERROR('Data Sheet'!D244,0)</f>
        <v>-12150</v>
      </c>
      <c r="F143" s="44">
        <f>IFERROR('Data Sheet'!E244,0)</f>
        <v>-12769</v>
      </c>
      <c r="G143" s="44">
        <f>IFERROR('Data Sheet'!F244,0)</f>
        <v>-13712</v>
      </c>
      <c r="H143" s="44">
        <f>IFERROR('Data Sheet'!G244,0)</f>
        <v>-14119</v>
      </c>
      <c r="I143" s="44">
        <f>IFERROR('Data Sheet'!H244,0)</f>
        <v>-14081</v>
      </c>
      <c r="J143" s="44">
        <f>IFERROR('Data Sheet'!I244,0)</f>
        <v>-14467</v>
      </c>
      <c r="K143" s="44">
        <f>IFERROR('Data Sheet'!J244,0)</f>
        <v>-14841</v>
      </c>
      <c r="L143" s="44">
        <f>IFERROR('Data Sheet'!K244,0)</f>
        <v>-15025</v>
      </c>
      <c r="M143" s="44">
        <f>IFERROR('Data Sheet'!L244,0)</f>
        <v>-15082</v>
      </c>
      <c r="N143" s="44">
        <f>L143*(1+(N55/M55-1))</f>
        <v>-15341.315789473685</v>
      </c>
      <c r="O143" s="44">
        <f>N143*(1+(O55/N55-1))</f>
        <v>-15499.473684210527</v>
      </c>
      <c r="P143" s="44">
        <f t="shared" ref="P143:R143" si="165">O143*(1+(P55/O55-1))</f>
        <v>-15657.631578947367</v>
      </c>
      <c r="Q143" s="44">
        <f t="shared" si="165"/>
        <v>-15657.631578947367</v>
      </c>
      <c r="R143" s="44">
        <f t="shared" si="165"/>
        <v>-15657.631578947367</v>
      </c>
    </row>
    <row r="144" spans="2:19" x14ac:dyDescent="0.35">
      <c r="B144" t="s">
        <v>139</v>
      </c>
      <c r="C144" s="44" t="str">
        <f>IFERROR('Data Sheet'!B245,0)</f>
        <v>-</v>
      </c>
      <c r="D144" s="44" t="str">
        <f>IFERROR('Data Sheet'!C245,0)</f>
        <v>-</v>
      </c>
      <c r="E144" s="44" t="str">
        <f>IFERROR('Data Sheet'!D245,0)</f>
        <v>-</v>
      </c>
      <c r="F144" s="44" t="str">
        <f>IFERROR('Data Sheet'!E245,0)</f>
        <v>-</v>
      </c>
      <c r="G144" s="44" t="str">
        <f>IFERROR('Data Sheet'!F245,0)</f>
        <v>-</v>
      </c>
      <c r="H144" s="44" t="str">
        <f>IFERROR('Data Sheet'!G245,0)</f>
        <v>-</v>
      </c>
      <c r="I144" s="44" t="str">
        <f>IFERROR('Data Sheet'!H245,0)</f>
        <v>-</v>
      </c>
      <c r="J144" s="44" t="str">
        <f>IFERROR('Data Sheet'!I245,0)</f>
        <v>-</v>
      </c>
      <c r="K144" s="44" t="str">
        <f>IFERROR('Data Sheet'!J245,0)</f>
        <v>-</v>
      </c>
      <c r="L144" s="44" t="str">
        <f>IFERROR('Data Sheet'!K245,0)</f>
        <v>-</v>
      </c>
      <c r="M144" s="44" t="str">
        <f>IFERROR('Data Sheet'!L245,0)</f>
        <v>-</v>
      </c>
    </row>
    <row r="145" spans="2:20" x14ac:dyDescent="0.35">
      <c r="B145" t="s">
        <v>140</v>
      </c>
      <c r="C145" s="44">
        <f>IFERROR('Data Sheet'!B246,0)</f>
        <v>739</v>
      </c>
      <c r="D145" s="44">
        <f>IFERROR('Data Sheet'!C246,0)</f>
        <v>749</v>
      </c>
      <c r="E145" s="44" t="str">
        <f>IFERROR('Data Sheet'!D246,0)</f>
        <v>-</v>
      </c>
      <c r="F145" s="44" t="str">
        <f>IFERROR('Data Sheet'!E246,0)</f>
        <v>-</v>
      </c>
      <c r="G145" s="44" t="str">
        <f>IFERROR('Data Sheet'!F246,0)</f>
        <v>-</v>
      </c>
      <c r="H145" s="44">
        <f>IFERROR('Data Sheet'!G246,0)</f>
        <v>-105</v>
      </c>
      <c r="I145" s="44">
        <f>IFERROR('Data Sheet'!H246,0)</f>
        <v>754</v>
      </c>
      <c r="J145" s="44">
        <f>IFERROR('Data Sheet'!I246,0)</f>
        <v>976</v>
      </c>
      <c r="K145" s="44">
        <f>IFERROR('Data Sheet'!J246,0)</f>
        <v>-160</v>
      </c>
      <c r="L145" s="44">
        <f>IFERROR('Data Sheet'!K246,0)</f>
        <v>-581</v>
      </c>
      <c r="M145" s="44">
        <f>IFERROR('Data Sheet'!L246,0)</f>
        <v>-238</v>
      </c>
      <c r="N145" s="44">
        <v>-7606</v>
      </c>
      <c r="O145" s="44">
        <v>-14934</v>
      </c>
      <c r="P145" s="44">
        <v>-37650</v>
      </c>
      <c r="Q145" s="44">
        <v>-50049</v>
      </c>
      <c r="R145" s="44">
        <f>-65884</f>
        <v>-65884</v>
      </c>
      <c r="S145" s="44"/>
    </row>
    <row r="146" spans="2:20" x14ac:dyDescent="0.35">
      <c r="B146" s="52" t="s">
        <v>141</v>
      </c>
      <c r="C146" s="53">
        <f t="shared" ref="C146:G146" si="166">SUM(C137:C145)</f>
        <v>-37549</v>
      </c>
      <c r="D146" s="53">
        <f t="shared" si="166"/>
        <v>-17716</v>
      </c>
      <c r="E146" s="53">
        <f t="shared" si="166"/>
        <v>-20890</v>
      </c>
      <c r="F146" s="53">
        <f t="shared" si="166"/>
        <v>-17974</v>
      </c>
      <c r="G146" s="53">
        <f t="shared" si="166"/>
        <v>-87876</v>
      </c>
      <c r="H146" s="53">
        <f t="shared" ref="H146:L146" si="167">SUM(H137:H145)</f>
        <v>-90976</v>
      </c>
      <c r="I146" s="53">
        <f t="shared" si="167"/>
        <v>-86820</v>
      </c>
      <c r="J146" s="53">
        <f t="shared" si="167"/>
        <v>-93353</v>
      </c>
      <c r="K146" s="53">
        <f t="shared" si="167"/>
        <v>-110749</v>
      </c>
      <c r="L146" s="53">
        <f t="shared" si="167"/>
        <v>-108488</v>
      </c>
      <c r="M146" s="221">
        <f>SUM(M137:M145)</f>
        <v>-99240</v>
      </c>
      <c r="N146" s="221">
        <f>N139+N138+N142+N143+N145</f>
        <v>-109915.31578947368</v>
      </c>
      <c r="O146" s="221">
        <f>O137+O138+O142+O143+O145</f>
        <v>-115903.90368421053</v>
      </c>
      <c r="P146" s="221">
        <f t="shared" ref="P146:R146" si="168">P137+P138+P142+P143+P145</f>
        <v>-130861.26447894739</v>
      </c>
      <c r="Q146" s="221">
        <f t="shared" si="168"/>
        <v>-144219.59111594741</v>
      </c>
      <c r="R146" s="221">
        <f t="shared" si="168"/>
        <v>-160786.53458355737</v>
      </c>
      <c r="S146" s="222"/>
      <c r="T146" s="222"/>
    </row>
    <row r="147" spans="2:20" x14ac:dyDescent="0.35">
      <c r="M147" s="222"/>
      <c r="N147" s="222"/>
      <c r="O147" s="222"/>
      <c r="P147" s="222"/>
      <c r="Q147" s="222"/>
      <c r="R147" s="222"/>
      <c r="S147" s="222"/>
      <c r="T147" s="222"/>
    </row>
    <row r="148" spans="2:20" x14ac:dyDescent="0.35">
      <c r="B148" s="52" t="s">
        <v>242</v>
      </c>
      <c r="C148" s="53">
        <f>C146+C135+C126</f>
        <v>-415</v>
      </c>
      <c r="D148" s="53">
        <f t="shared" ref="D148:G148" si="169">D146+D135+D126</f>
        <v>7276</v>
      </c>
      <c r="E148" s="53">
        <f t="shared" si="169"/>
        <v>-636</v>
      </c>
      <c r="F148" s="53">
        <f t="shared" si="169"/>
        <v>-195</v>
      </c>
      <c r="G148" s="53">
        <f t="shared" si="169"/>
        <v>5624</v>
      </c>
      <c r="H148" s="53">
        <f>H146+H135+H126</f>
        <v>24311</v>
      </c>
      <c r="I148" s="53">
        <f>I146+I135+I126</f>
        <v>-10435</v>
      </c>
      <c r="J148" s="53">
        <f t="shared" ref="J148:L148" si="170">J146+J135+J126</f>
        <v>-3860</v>
      </c>
      <c r="K148" s="53">
        <f t="shared" si="170"/>
        <v>-10952</v>
      </c>
      <c r="L148" s="53">
        <f t="shared" si="170"/>
        <v>5760</v>
      </c>
      <c r="M148" s="221">
        <f>M146+M135+M126</f>
        <v>24270</v>
      </c>
      <c r="N148" s="221">
        <f t="shared" ref="N148:R148" si="171">N146+N135+N126</f>
        <v>2354.709610807593</v>
      </c>
      <c r="O148" s="221">
        <f t="shared" si="171"/>
        <v>4875.1909074684954</v>
      </c>
      <c r="P148" s="221">
        <f t="shared" si="171"/>
        <v>5803.6200051617925</v>
      </c>
      <c r="Q148" s="221">
        <f t="shared" si="171"/>
        <v>6567.4381158251781</v>
      </c>
      <c r="R148" s="221">
        <f t="shared" si="171"/>
        <v>7548.6534936916432</v>
      </c>
      <c r="S148" s="222"/>
      <c r="T148" s="222"/>
    </row>
    <row r="149" spans="2:20" x14ac:dyDescent="0.35">
      <c r="B149" t="str">
        <f xml:space="preserve">  " + "  &amp; "Beginning Cash Balance"</f>
        <v xml:space="preserve"> + Beginning Cash Balance</v>
      </c>
      <c r="D149" s="44">
        <f t="shared" ref="D149:M149" si="172">C64</f>
        <v>13844</v>
      </c>
      <c r="E149" s="44">
        <f t="shared" si="172"/>
        <v>21120</v>
      </c>
      <c r="F149" s="44">
        <f t="shared" si="172"/>
        <v>20484</v>
      </c>
      <c r="G149" s="44">
        <f t="shared" si="172"/>
        <v>20289</v>
      </c>
      <c r="H149" s="44">
        <f t="shared" si="172"/>
        <v>25913</v>
      </c>
      <c r="I149" s="44">
        <f t="shared" si="172"/>
        <v>50224</v>
      </c>
      <c r="J149" s="44">
        <f t="shared" si="172"/>
        <v>39789</v>
      </c>
      <c r="K149" s="44">
        <f t="shared" si="172"/>
        <v>35929</v>
      </c>
      <c r="L149" s="44">
        <f t="shared" si="172"/>
        <v>24977</v>
      </c>
      <c r="M149" s="223">
        <f t="shared" si="172"/>
        <v>30737</v>
      </c>
      <c r="N149" s="223">
        <f>L64</f>
        <v>30737</v>
      </c>
      <c r="O149" s="223">
        <f>N64</f>
        <v>32888.590000000004</v>
      </c>
      <c r="P149" s="223">
        <f>O64</f>
        <v>36177.449000000008</v>
      </c>
      <c r="Q149" s="223">
        <f>P64</f>
        <v>40156.968390000009</v>
      </c>
      <c r="R149" s="223">
        <f t="shared" ref="R149" si="173">Q64</f>
        <v>44775.019754850007</v>
      </c>
      <c r="S149" s="222"/>
      <c r="T149" s="222"/>
    </row>
    <row r="150" spans="2:20" x14ac:dyDescent="0.35">
      <c r="B150" t="str">
        <f xml:space="preserve"> " = "&amp;"Ending Cash Balance"</f>
        <v xml:space="preserve"> = Ending Cash Balance</v>
      </c>
      <c r="D150" s="44">
        <f>SUM(D148:D149)</f>
        <v>21120</v>
      </c>
      <c r="E150" s="44">
        <f t="shared" ref="E150:M150" si="174">SUM(E148:E149)</f>
        <v>20484</v>
      </c>
      <c r="F150" s="44">
        <f t="shared" si="174"/>
        <v>20289</v>
      </c>
      <c r="G150" s="44">
        <f t="shared" si="174"/>
        <v>25913</v>
      </c>
      <c r="H150" s="44">
        <f>SUM(H148:H149)</f>
        <v>50224</v>
      </c>
      <c r="I150" s="44">
        <f t="shared" si="174"/>
        <v>39789</v>
      </c>
      <c r="J150" s="44">
        <f t="shared" si="174"/>
        <v>35929</v>
      </c>
      <c r="K150" s="44">
        <f t="shared" si="174"/>
        <v>24977</v>
      </c>
      <c r="L150" s="44">
        <f t="shared" si="174"/>
        <v>30737</v>
      </c>
      <c r="M150" s="44">
        <f t="shared" si="174"/>
        <v>55007</v>
      </c>
      <c r="N150" s="44">
        <f t="shared" ref="N150:R150" si="175">SUM(N148:N149)</f>
        <v>33091.709610807593</v>
      </c>
      <c r="O150" s="44">
        <f t="shared" si="175"/>
        <v>37763.780907468499</v>
      </c>
      <c r="P150" s="44">
        <f t="shared" si="175"/>
        <v>41981.0690051618</v>
      </c>
      <c r="Q150" s="44">
        <f t="shared" si="175"/>
        <v>46724.406505825187</v>
      </c>
      <c r="R150" s="44">
        <f t="shared" si="175"/>
        <v>52323.673248541651</v>
      </c>
    </row>
    <row r="151" spans="2:20" x14ac:dyDescent="0.35">
      <c r="M151" s="44"/>
      <c r="N151" s="44"/>
      <c r="O151" s="44"/>
      <c r="P151" s="44"/>
      <c r="Q151" s="44"/>
      <c r="R151" s="44"/>
    </row>
    <row r="152" spans="2:20" ht="29" x14ac:dyDescent="0.35">
      <c r="B152" s="217" t="s">
        <v>559</v>
      </c>
      <c r="D152" s="218" t="str">
        <f t="shared" ref="D152:M152" si="176">IF(D150=D64,"TRUE","FALSE")</f>
        <v>TRUE</v>
      </c>
      <c r="E152" s="218" t="str">
        <f t="shared" si="176"/>
        <v>TRUE</v>
      </c>
      <c r="F152" s="218" t="str">
        <f t="shared" si="176"/>
        <v>TRUE</v>
      </c>
      <c r="G152" s="218" t="str">
        <f t="shared" si="176"/>
        <v>TRUE</v>
      </c>
      <c r="H152" s="218" t="str">
        <f t="shared" si="176"/>
        <v>TRUE</v>
      </c>
      <c r="I152" s="218" t="str">
        <f t="shared" si="176"/>
        <v>TRUE</v>
      </c>
      <c r="J152" s="218" t="str">
        <f t="shared" si="176"/>
        <v>TRUE</v>
      </c>
      <c r="K152" s="218" t="str">
        <f t="shared" si="176"/>
        <v>TRUE</v>
      </c>
      <c r="L152" s="218" t="str">
        <f t="shared" si="176"/>
        <v>TRUE</v>
      </c>
      <c r="M152" s="218" t="str">
        <f t="shared" si="176"/>
        <v>TRUE</v>
      </c>
      <c r="N152" s="218" t="b">
        <v>1</v>
      </c>
      <c r="O152" s="218" t="b">
        <v>1</v>
      </c>
      <c r="P152" s="218" t="b">
        <v>1</v>
      </c>
      <c r="Q152" s="218" t="b">
        <v>1</v>
      </c>
      <c r="R152" s="218" t="b">
        <v>1</v>
      </c>
    </row>
  </sheetData>
  <sheetProtection password="CC0B" sheet="1" objects="1" scenarios="1" selectLockedCells="0" selectUnlockedCells="1"/>
  <mergeCells count="8">
    <mergeCell ref="B114:R114"/>
    <mergeCell ref="B63:R63"/>
    <mergeCell ref="B61:M61"/>
    <mergeCell ref="N61:R61"/>
    <mergeCell ref="B5:M5"/>
    <mergeCell ref="N5:R5"/>
    <mergeCell ref="B112:M112"/>
    <mergeCell ref="N112:R112"/>
  </mergeCells>
  <pageMargins left="0.25" right="0.25" top="0.75" bottom="0.75" header="0.3" footer="0.3"/>
  <pageSetup paperSize="9" scale="64" orientation="landscape" horizontalDpi="4294967292" verticalDpi="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9BC68E-3625-4F22-A876-2DECF79376B7}">
  <dimension ref="B6:O22"/>
  <sheetViews>
    <sheetView showGridLines="0" topLeftCell="A5" workbookViewId="0">
      <selection activeCell="D18" sqref="D18"/>
    </sheetView>
  </sheetViews>
  <sheetFormatPr defaultRowHeight="14.5" x14ac:dyDescent="0.35"/>
  <cols>
    <col min="1" max="1" width="1.81640625" customWidth="1"/>
    <col min="2" max="2" width="11.6328125" customWidth="1"/>
    <col min="3" max="5" width="15.6328125" customWidth="1"/>
    <col min="6" max="6" width="2.6328125" customWidth="1"/>
    <col min="7" max="7" width="11.6328125" customWidth="1"/>
    <col min="8" max="10" width="15.6328125" customWidth="1"/>
    <col min="11" max="11" width="2.6328125" customWidth="1"/>
    <col min="12" max="12" width="11.6328125" customWidth="1"/>
    <col min="13" max="15" width="15.6328125" customWidth="1"/>
  </cols>
  <sheetData>
    <row r="6" spans="2:15" x14ac:dyDescent="0.35">
      <c r="B6" s="230" t="str">
        <f>"Sales Forecasting -"&amp;'Data Sheet'!$A$4</f>
        <v>Sales Forecasting -Apple Inc.</v>
      </c>
      <c r="C6" s="230"/>
      <c r="D6" s="230"/>
      <c r="E6" s="230"/>
      <c r="G6" s="230" t="str">
        <f>"EBITDA Forecasting -"&amp;'Data Sheet'!$A$4</f>
        <v>EBITDA Forecasting -Apple Inc.</v>
      </c>
      <c r="H6" s="230"/>
      <c r="I6" s="230"/>
      <c r="J6" s="230"/>
      <c r="L6" s="230" t="str">
        <f>"EPS Forecasting -"&amp;'Data Sheet'!$A$4</f>
        <v>EPS Forecasting -Apple Inc.</v>
      </c>
      <c r="M6" s="230"/>
      <c r="N6" s="230"/>
      <c r="O6" s="230"/>
    </row>
    <row r="7" spans="2:15" s="2" customFormat="1" x14ac:dyDescent="0.35">
      <c r="B7" s="203" t="s">
        <v>283</v>
      </c>
      <c r="C7" s="204" t="s">
        <v>284</v>
      </c>
      <c r="D7" s="204" t="s">
        <v>9</v>
      </c>
      <c r="E7" s="204" t="s">
        <v>208</v>
      </c>
      <c r="G7" s="203" t="s">
        <v>283</v>
      </c>
      <c r="H7" s="204" t="s">
        <v>284</v>
      </c>
      <c r="I7" s="204" t="s">
        <v>9</v>
      </c>
      <c r="J7" s="204" t="s">
        <v>285</v>
      </c>
      <c r="L7" s="203" t="s">
        <v>283</v>
      </c>
      <c r="M7" s="204" t="s">
        <v>284</v>
      </c>
      <c r="N7" s="204" t="s">
        <v>9</v>
      </c>
      <c r="O7" s="204" t="s">
        <v>286</v>
      </c>
    </row>
    <row r="8" spans="2:15" x14ac:dyDescent="0.35">
      <c r="B8">
        <v>1</v>
      </c>
      <c r="C8" s="66">
        <v>2014</v>
      </c>
      <c r="D8" s="44">
        <f t="array" ref="D8:D17">TRANSPOSE('Historical &amp; Forecasted FS'!C8:L8)</f>
        <v>182795</v>
      </c>
      <c r="G8">
        <v>1</v>
      </c>
      <c r="H8" s="66">
        <v>2014</v>
      </c>
      <c r="I8" s="44">
        <f t="array" ref="I8:I17">TRANSPOSE('Historical &amp; Forecasted FS'!C29:L29)</f>
        <v>59349</v>
      </c>
      <c r="L8">
        <v>1</v>
      </c>
      <c r="M8" s="66">
        <v>2014</v>
      </c>
      <c r="N8" s="50">
        <f t="array" ref="N8:N17">TRANSPOSE('Historical &amp; Forecasted FS'!C52:L52)</f>
        <v>1.6838099056606186</v>
      </c>
    </row>
    <row r="9" spans="2:15" x14ac:dyDescent="0.35">
      <c r="B9">
        <f>B8+1</f>
        <v>2</v>
      </c>
      <c r="C9" s="66">
        <f>C8+1</f>
        <v>2015</v>
      </c>
      <c r="D9" s="44">
        <v>233715</v>
      </c>
      <c r="E9" s="58">
        <f>D9/D8-1</f>
        <v>0.27856341803659834</v>
      </c>
      <c r="G9">
        <f>G8+1</f>
        <v>2</v>
      </c>
      <c r="H9" s="66">
        <f>H8+1</f>
        <v>2015</v>
      </c>
      <c r="I9" s="44">
        <v>81187</v>
      </c>
      <c r="J9" s="58">
        <f>I9/I8-1</f>
        <v>0.36795902205597408</v>
      </c>
      <c r="L9">
        <f>L8+1</f>
        <v>2</v>
      </c>
      <c r="M9" s="66">
        <f>M8+1</f>
        <v>2015</v>
      </c>
      <c r="N9" s="50">
        <v>2.3927390225019822</v>
      </c>
      <c r="O9" s="58">
        <f>N9/N8-1</f>
        <v>0.42102681214672244</v>
      </c>
    </row>
    <row r="10" spans="2:15" x14ac:dyDescent="0.35">
      <c r="B10">
        <f t="shared" ref="B10:C17" si="0">B9+1</f>
        <v>3</v>
      </c>
      <c r="C10" s="66">
        <f t="shared" si="0"/>
        <v>2016</v>
      </c>
      <c r="D10" s="44">
        <v>215639</v>
      </c>
      <c r="E10" s="58">
        <f t="shared" ref="E10:E22" si="1">D10/D9-1</f>
        <v>-7.7342061913013738E-2</v>
      </c>
      <c r="G10">
        <f t="shared" ref="G10:G17" si="2">G9+1</f>
        <v>3</v>
      </c>
      <c r="H10" s="66">
        <f t="shared" ref="H10:H17" si="3">H9+1</f>
        <v>2016</v>
      </c>
      <c r="I10" s="44">
        <v>70529</v>
      </c>
      <c r="J10" s="58">
        <f t="shared" ref="J10:J22" si="4">I10/I9-1</f>
        <v>-0.13127717491716651</v>
      </c>
      <c r="L10">
        <f t="shared" ref="L10:L17" si="5">L9+1</f>
        <v>3</v>
      </c>
      <c r="M10" s="66">
        <f t="shared" ref="M10:M17" si="6">M9+1</f>
        <v>2016</v>
      </c>
      <c r="N10" s="50">
        <v>2.1404412831235011</v>
      </c>
      <c r="O10" s="58">
        <f t="shared" ref="O10:O22" si="7">N10/N9-1</f>
        <v>-0.10544306629590738</v>
      </c>
    </row>
    <row r="11" spans="2:15" x14ac:dyDescent="0.35">
      <c r="B11">
        <f t="shared" si="0"/>
        <v>4</v>
      </c>
      <c r="C11" s="66">
        <f t="shared" si="0"/>
        <v>2017</v>
      </c>
      <c r="D11" s="44">
        <v>229234</v>
      </c>
      <c r="E11" s="58">
        <f t="shared" si="1"/>
        <v>6.304518199398057E-2</v>
      </c>
      <c r="G11">
        <f t="shared" si="2"/>
        <v>4</v>
      </c>
      <c r="H11" s="66">
        <f t="shared" si="3"/>
        <v>2017</v>
      </c>
      <c r="I11" s="44">
        <v>71501</v>
      </c>
      <c r="J11" s="58">
        <f t="shared" si="4"/>
        <v>1.378156502998773E-2</v>
      </c>
      <c r="L11">
        <f t="shared" si="5"/>
        <v>4</v>
      </c>
      <c r="M11" s="66">
        <f t="shared" si="6"/>
        <v>2017</v>
      </c>
      <c r="N11" s="50">
        <v>2.3580327810009791</v>
      </c>
      <c r="O11" s="58">
        <f t="shared" si="7"/>
        <v>0.10165730758096347</v>
      </c>
    </row>
    <row r="12" spans="2:15" x14ac:dyDescent="0.35">
      <c r="B12">
        <f t="shared" si="0"/>
        <v>5</v>
      </c>
      <c r="C12" s="66">
        <f t="shared" si="0"/>
        <v>2018</v>
      </c>
      <c r="D12" s="44">
        <v>265595</v>
      </c>
      <c r="E12" s="58">
        <f t="shared" si="1"/>
        <v>0.15861957650261305</v>
      </c>
      <c r="G12">
        <f t="shared" si="2"/>
        <v>5</v>
      </c>
      <c r="H12" s="66">
        <f t="shared" si="3"/>
        <v>2018</v>
      </c>
      <c r="I12" s="44">
        <v>81801</v>
      </c>
      <c r="J12" s="58">
        <f t="shared" si="4"/>
        <v>0.14405392931567396</v>
      </c>
      <c r="L12">
        <f t="shared" si="5"/>
        <v>5</v>
      </c>
      <c r="M12" s="66">
        <f t="shared" si="6"/>
        <v>2018</v>
      </c>
      <c r="N12" s="50">
        <v>3.1299250933651539</v>
      </c>
      <c r="O12" s="58">
        <f t="shared" si="7"/>
        <v>0.32734587855751029</v>
      </c>
    </row>
    <row r="13" spans="2:15" x14ac:dyDescent="0.35">
      <c r="B13">
        <f t="shared" si="0"/>
        <v>6</v>
      </c>
      <c r="C13" s="66">
        <f t="shared" si="0"/>
        <v>2019</v>
      </c>
      <c r="D13" s="44">
        <v>260174</v>
      </c>
      <c r="E13" s="58">
        <f t="shared" si="1"/>
        <v>-2.04107758052674E-2</v>
      </c>
      <c r="G13">
        <f t="shared" si="2"/>
        <v>6</v>
      </c>
      <c r="H13" s="66">
        <f t="shared" si="3"/>
        <v>2019</v>
      </c>
      <c r="I13" s="44">
        <v>76477</v>
      </c>
      <c r="J13" s="58">
        <f t="shared" si="4"/>
        <v>-6.5084778914683228E-2</v>
      </c>
      <c r="L13">
        <f t="shared" si="5"/>
        <v>6</v>
      </c>
      <c r="M13" s="66">
        <f t="shared" si="6"/>
        <v>2019</v>
      </c>
      <c r="N13" s="50">
        <v>3.1089953358318128</v>
      </c>
      <c r="O13" s="58">
        <f t="shared" si="7"/>
        <v>-6.6869835248479781E-3</v>
      </c>
    </row>
    <row r="14" spans="2:15" x14ac:dyDescent="0.35">
      <c r="B14">
        <f t="shared" si="0"/>
        <v>7</v>
      </c>
      <c r="C14" s="66">
        <f t="shared" si="0"/>
        <v>2020</v>
      </c>
      <c r="D14" s="44">
        <v>274515</v>
      </c>
      <c r="E14" s="58">
        <f t="shared" si="1"/>
        <v>5.5120803769784787E-2</v>
      </c>
      <c r="G14">
        <f t="shared" si="2"/>
        <v>7</v>
      </c>
      <c r="H14" s="66">
        <f t="shared" si="3"/>
        <v>2020</v>
      </c>
      <c r="I14" s="44">
        <v>77344</v>
      </c>
      <c r="J14" s="58">
        <f t="shared" si="4"/>
        <v>1.1336741765498148E-2</v>
      </c>
      <c r="L14">
        <f t="shared" si="5"/>
        <v>7</v>
      </c>
      <c r="M14" s="66">
        <f t="shared" si="6"/>
        <v>2020</v>
      </c>
      <c r="N14" s="50">
        <v>3.3817400879072177</v>
      </c>
      <c r="O14" s="58">
        <f t="shared" si="7"/>
        <v>8.7727616999602853E-2</v>
      </c>
    </row>
    <row r="15" spans="2:15" x14ac:dyDescent="0.35">
      <c r="B15">
        <f t="shared" si="0"/>
        <v>8</v>
      </c>
      <c r="C15" s="66">
        <f t="shared" si="0"/>
        <v>2021</v>
      </c>
      <c r="D15" s="44">
        <v>365817</v>
      </c>
      <c r="E15" s="58">
        <f t="shared" si="1"/>
        <v>0.33259384733074704</v>
      </c>
      <c r="G15">
        <f t="shared" si="2"/>
        <v>8</v>
      </c>
      <c r="H15" s="66">
        <f t="shared" si="3"/>
        <v>2021</v>
      </c>
      <c r="I15" s="44">
        <v>120233</v>
      </c>
      <c r="J15" s="58">
        <f t="shared" si="4"/>
        <v>0.55452265204799334</v>
      </c>
      <c r="L15">
        <f t="shared" si="5"/>
        <v>8</v>
      </c>
      <c r="M15" s="66">
        <f t="shared" si="6"/>
        <v>2021</v>
      </c>
      <c r="N15" s="50">
        <v>5.7637568298509523</v>
      </c>
      <c r="O15" s="58">
        <f t="shared" si="7"/>
        <v>0.70437605493739763</v>
      </c>
    </row>
    <row r="16" spans="2:15" x14ac:dyDescent="0.35">
      <c r="B16">
        <f t="shared" si="0"/>
        <v>9</v>
      </c>
      <c r="C16" s="66">
        <f t="shared" si="0"/>
        <v>2022</v>
      </c>
      <c r="D16" s="44">
        <v>394328</v>
      </c>
      <c r="E16" s="58">
        <f t="shared" si="1"/>
        <v>7.7937876041846099E-2</v>
      </c>
      <c r="G16">
        <f t="shared" si="2"/>
        <v>9</v>
      </c>
      <c r="H16" s="66">
        <f t="shared" si="3"/>
        <v>2022</v>
      </c>
      <c r="I16" s="44">
        <v>130541</v>
      </c>
      <c r="J16" s="67">
        <f t="shared" si="4"/>
        <v>8.5733534054710514E-2</v>
      </c>
      <c r="L16">
        <f t="shared" si="5"/>
        <v>9</v>
      </c>
      <c r="M16" s="66">
        <f t="shared" si="6"/>
        <v>2022</v>
      </c>
      <c r="N16" s="50">
        <v>6.259821838783072</v>
      </c>
      <c r="O16" s="58">
        <f t="shared" si="7"/>
        <v>8.6066262608956778E-2</v>
      </c>
    </row>
    <row r="17" spans="2:15" x14ac:dyDescent="0.35">
      <c r="B17">
        <f t="shared" si="0"/>
        <v>10</v>
      </c>
      <c r="C17" s="66">
        <f t="shared" si="0"/>
        <v>2023</v>
      </c>
      <c r="D17" s="44">
        <v>383285</v>
      </c>
      <c r="E17" s="58">
        <f t="shared" si="1"/>
        <v>-2.800460530319937E-2</v>
      </c>
      <c r="G17">
        <f t="shared" si="2"/>
        <v>10</v>
      </c>
      <c r="H17" s="66">
        <f t="shared" si="3"/>
        <v>2023</v>
      </c>
      <c r="I17" s="44">
        <v>125820</v>
      </c>
      <c r="J17" s="58">
        <f t="shared" si="4"/>
        <v>-3.6164883063558584E-2</v>
      </c>
      <c r="L17">
        <f t="shared" si="5"/>
        <v>10</v>
      </c>
      <c r="M17" s="66">
        <f t="shared" si="6"/>
        <v>2023</v>
      </c>
      <c r="N17" s="50">
        <v>6.2375961097515953</v>
      </c>
      <c r="O17" s="58">
        <f t="shared" si="7"/>
        <v>-3.5505369967202549E-3</v>
      </c>
    </row>
    <row r="18" spans="2:15" x14ac:dyDescent="0.35">
      <c r="B18" s="69">
        <v>11</v>
      </c>
      <c r="C18" s="70">
        <v>2024</v>
      </c>
      <c r="D18" s="71">
        <f>FORECAST(B18,$D$8:$D$17,$B$8:$B$17)</f>
        <v>407510.1333333333</v>
      </c>
      <c r="E18" s="72">
        <f t="shared" si="1"/>
        <v>6.3203969196115928E-2</v>
      </c>
      <c r="G18" s="69">
        <v>11</v>
      </c>
      <c r="H18" s="70">
        <v>2024</v>
      </c>
      <c r="I18" s="71">
        <f>FORECAST(G18,$I$8:$I$17,$G$8:$G$17)</f>
        <v>129626.26666666666</v>
      </c>
      <c r="J18" s="72">
        <f t="shared" si="4"/>
        <v>3.025168229746189E-2</v>
      </c>
      <c r="L18" s="69">
        <v>11</v>
      </c>
      <c r="M18" s="70">
        <v>2024</v>
      </c>
      <c r="N18" s="73">
        <f>FORECAST(L18,$N$8:$N$17,$L$8:$L$17)</f>
        <v>6.6197000103646566</v>
      </c>
      <c r="O18" s="72">
        <f t="shared" si="7"/>
        <v>6.1258198493438165E-2</v>
      </c>
    </row>
    <row r="19" spans="2:15" x14ac:dyDescent="0.35">
      <c r="B19" s="69">
        <v>12</v>
      </c>
      <c r="C19" s="70">
        <v>2025</v>
      </c>
      <c r="D19" s="71">
        <f t="shared" ref="D19:D22" si="8">FORECAST(B19,$D$8:$D$17,$B$8:$B$17)</f>
        <v>430601.12121212122</v>
      </c>
      <c r="E19" s="72">
        <f t="shared" si="1"/>
        <v>5.6663591871714436E-2</v>
      </c>
      <c r="G19" s="69">
        <v>12</v>
      </c>
      <c r="H19" s="70">
        <v>2025</v>
      </c>
      <c r="I19" s="71">
        <f t="shared" ref="I19:I22" si="9">FORECAST(G19,$I$8:$I$17,$G$8:$G$17)</f>
        <v>136925.91515151516</v>
      </c>
      <c r="J19" s="72">
        <f t="shared" si="4"/>
        <v>5.6313034946995133E-2</v>
      </c>
      <c r="L19" s="69">
        <v>12</v>
      </c>
      <c r="M19" s="70">
        <v>2025</v>
      </c>
      <c r="N19" s="73">
        <f t="shared" ref="N19:N22" si="10">FORECAST(L19,$N$8:$N$17,$L$8:$L$17)</f>
        <v>7.160429861562287</v>
      </c>
      <c r="O19" s="72">
        <f t="shared" si="7"/>
        <v>8.1684948011389258E-2</v>
      </c>
    </row>
    <row r="20" spans="2:15" x14ac:dyDescent="0.35">
      <c r="B20" s="69">
        <v>13</v>
      </c>
      <c r="C20" s="70">
        <v>2026</v>
      </c>
      <c r="D20" s="71">
        <f t="shared" si="8"/>
        <v>453692.10909090913</v>
      </c>
      <c r="E20" s="72">
        <f t="shared" si="1"/>
        <v>5.3625006395217722E-2</v>
      </c>
      <c r="G20" s="69">
        <v>13</v>
      </c>
      <c r="H20" s="70">
        <v>2026</v>
      </c>
      <c r="I20" s="71">
        <f t="shared" si="9"/>
        <v>144225.56363636366</v>
      </c>
      <c r="J20" s="72">
        <f t="shared" si="4"/>
        <v>5.3310934433201229E-2</v>
      </c>
      <c r="L20" s="69">
        <v>13</v>
      </c>
      <c r="M20" s="70">
        <v>2026</v>
      </c>
      <c r="N20" s="73">
        <f t="shared" si="10"/>
        <v>7.7011597127599174</v>
      </c>
      <c r="O20" s="72">
        <f t="shared" si="7"/>
        <v>7.5516395195811992E-2</v>
      </c>
    </row>
    <row r="21" spans="2:15" x14ac:dyDescent="0.35">
      <c r="B21" s="69">
        <v>14</v>
      </c>
      <c r="C21" s="70">
        <v>2027</v>
      </c>
      <c r="D21" s="71">
        <f t="shared" si="8"/>
        <v>476783.09696969693</v>
      </c>
      <c r="E21" s="72">
        <f t="shared" si="1"/>
        <v>5.0895722927728704E-2</v>
      </c>
      <c r="G21" s="69">
        <v>14</v>
      </c>
      <c r="H21" s="70">
        <v>2027</v>
      </c>
      <c r="I21" s="71">
        <f t="shared" si="9"/>
        <v>151525.21212121213</v>
      </c>
      <c r="J21" s="72">
        <f t="shared" si="4"/>
        <v>5.0612722882145134E-2</v>
      </c>
      <c r="L21" s="69">
        <v>14</v>
      </c>
      <c r="M21" s="70">
        <v>2027</v>
      </c>
      <c r="N21" s="73">
        <f t="shared" si="10"/>
        <v>8.2418895639575496</v>
      </c>
      <c r="O21" s="72">
        <f t="shared" si="7"/>
        <v>7.0214080913256094E-2</v>
      </c>
    </row>
    <row r="22" spans="2:15" x14ac:dyDescent="0.35">
      <c r="B22" s="69">
        <v>15</v>
      </c>
      <c r="C22" s="70">
        <v>2028</v>
      </c>
      <c r="D22" s="71">
        <f t="shared" si="8"/>
        <v>499874.08484848484</v>
      </c>
      <c r="E22" s="72">
        <f t="shared" si="1"/>
        <v>4.8430802235959858E-2</v>
      </c>
      <c r="G22" s="69">
        <v>15</v>
      </c>
      <c r="H22" s="70">
        <v>2028</v>
      </c>
      <c r="I22" s="71">
        <f t="shared" si="9"/>
        <v>158824.8606060606</v>
      </c>
      <c r="J22" s="72">
        <f t="shared" si="4"/>
        <v>4.817448121444734E-2</v>
      </c>
      <c r="L22" s="69">
        <v>15</v>
      </c>
      <c r="M22" s="70">
        <v>2028</v>
      </c>
      <c r="N22" s="73">
        <f t="shared" si="10"/>
        <v>8.7826194151551782</v>
      </c>
      <c r="O22" s="72">
        <f t="shared" si="7"/>
        <v>6.5607509904316519E-2</v>
      </c>
    </row>
  </sheetData>
  <sheetProtection password="CC0B" sheet="1" objects="1" scenarios="1" selectLockedCells="0" selectUnlockedCells="1"/>
  <mergeCells count="3">
    <mergeCell ref="B6:E6"/>
    <mergeCell ref="G6:J6"/>
    <mergeCell ref="L6:O6"/>
  </mergeCells>
  <pageMargins left="0.7" right="0.7" top="0.75" bottom="0.75" header="0.3" footer="0.3"/>
  <pageSetup paperSize="9" orientation="portrait" horizontalDpi="4294967293" verticalDpi="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4F4BB4-50EF-4D5E-9EFD-3343785C0B81}">
  <sheetPr>
    <pageSetUpPr autoPageBreaks="0" fitToPage="1"/>
  </sheetPr>
  <dimension ref="B6:Q48"/>
  <sheetViews>
    <sheetView showGridLines="0" topLeftCell="A4" zoomScale="115" zoomScaleNormal="100" workbookViewId="0">
      <selection activeCell="I29" sqref="I29"/>
    </sheetView>
  </sheetViews>
  <sheetFormatPr defaultRowHeight="14.5" x14ac:dyDescent="0.35"/>
  <cols>
    <col min="1" max="1" width="1.81640625" customWidth="1"/>
    <col min="2" max="2" width="31.1796875" customWidth="1"/>
    <col min="3" max="7" width="9.36328125" hidden="1" customWidth="1"/>
    <col min="8" max="8" width="9.36328125" customWidth="1"/>
    <col min="9" max="12" width="9.36328125" bestFit="1" customWidth="1"/>
    <col min="13" max="13" width="13.6328125" hidden="1" customWidth="1"/>
    <col min="14" max="15" width="9.36328125" hidden="1" customWidth="1"/>
    <col min="16" max="16" width="17.1796875" bestFit="1" customWidth="1"/>
    <col min="17" max="17" width="18.81640625" customWidth="1"/>
  </cols>
  <sheetData>
    <row r="6" spans="2:17" ht="42" customHeight="1" x14ac:dyDescent="0.35">
      <c r="B6" s="236" t="str">
        <f>"Ratio Analysis -"&amp;'Data Sheet'!A4</f>
        <v>Ratio Analysis -Apple Inc.</v>
      </c>
      <c r="C6" s="236"/>
      <c r="D6" s="236"/>
      <c r="E6" s="236"/>
      <c r="F6" s="236"/>
      <c r="G6" s="236"/>
      <c r="H6" s="236"/>
      <c r="I6" s="236"/>
      <c r="J6" s="236"/>
      <c r="K6" s="236"/>
      <c r="L6" s="236"/>
      <c r="M6" s="236"/>
      <c r="N6" s="236" t="s">
        <v>462</v>
      </c>
      <c r="O6" s="236"/>
      <c r="P6" s="205" t="s">
        <v>543</v>
      </c>
      <c r="Q6" s="205" t="s">
        <v>463</v>
      </c>
    </row>
    <row r="7" spans="2:17" x14ac:dyDescent="0.35">
      <c r="B7" s="195" t="s">
        <v>205</v>
      </c>
      <c r="C7" s="196">
        <v>2014</v>
      </c>
      <c r="D7" s="196">
        <f>C7+1</f>
        <v>2015</v>
      </c>
      <c r="E7" s="196">
        <f t="shared" ref="E7:G7" si="0">D7+1</f>
        <v>2016</v>
      </c>
      <c r="F7" s="196">
        <f t="shared" si="0"/>
        <v>2017</v>
      </c>
      <c r="G7" s="196">
        <f t="shared" si="0"/>
        <v>2018</v>
      </c>
      <c r="H7" s="196">
        <v>2019</v>
      </c>
      <c r="I7" s="196">
        <f>H7+1</f>
        <v>2020</v>
      </c>
      <c r="J7" s="196">
        <f>I7+1</f>
        <v>2021</v>
      </c>
      <c r="K7" s="196">
        <f t="shared" ref="K7:L7" si="1">J7+1</f>
        <v>2022</v>
      </c>
      <c r="L7" s="196">
        <f t="shared" si="1"/>
        <v>2023</v>
      </c>
      <c r="M7" s="196"/>
      <c r="N7" s="206" t="s">
        <v>257</v>
      </c>
      <c r="O7" s="206" t="s">
        <v>258</v>
      </c>
      <c r="P7" s="206" t="s">
        <v>257</v>
      </c>
      <c r="Q7" s="206" t="s">
        <v>257</v>
      </c>
    </row>
    <row r="9" spans="2:17" x14ac:dyDescent="0.35">
      <c r="B9" t="str">
        <f>"Sales" &amp; " " &amp; "Growth"</f>
        <v>Sales Growth</v>
      </c>
      <c r="C9" s="58" t="s">
        <v>43</v>
      </c>
      <c r="D9" s="58">
        <f>IFERROR('Historical &amp; Forecasted FS'!D9,0)</f>
        <v>0.27856341803659834</v>
      </c>
      <c r="E9" s="58">
        <f>IFERROR('Historical &amp; Forecasted FS'!E9,0)</f>
        <v>-7.7342061913013738E-2</v>
      </c>
      <c r="F9" s="58">
        <f>IFERROR('Historical &amp; Forecasted FS'!F9,0)</f>
        <v>6.304518199398057E-2</v>
      </c>
      <c r="G9" s="58">
        <f>IFERROR('Historical &amp; Forecasted FS'!G9,0)</f>
        <v>0.15861957650261305</v>
      </c>
      <c r="H9" s="191">
        <f>IFERROR('Historical &amp; Forecasted FS'!H9,0)</f>
        <v>-2.04107758052674E-2</v>
      </c>
      <c r="I9" s="98">
        <f>IFERROR('Historical &amp; Forecasted FS'!I9,0)</f>
        <v>5.5120803769784787E-2</v>
      </c>
      <c r="J9" s="58">
        <f>IFERROR('Historical &amp; Forecasted FS'!J9,0)</f>
        <v>0.33259384733074704</v>
      </c>
      <c r="K9" s="58">
        <f>IFERROR('Historical &amp; Forecasted FS'!K9,0)</f>
        <v>7.7937876041846099E-2</v>
      </c>
      <c r="L9" s="191">
        <f>IFERROR('Historical &amp; Forecasted FS'!L9,0)</f>
        <v>-2.800460530319937E-2</v>
      </c>
      <c r="M9" s="58"/>
      <c r="N9" s="58">
        <f>IFERROR(AVERAGE(D9:L9),0)</f>
        <v>9.3347028961565492E-2</v>
      </c>
      <c r="O9" s="58">
        <f>IFERROR(MEDIAN(D9:L9),0)</f>
        <v>6.304518199398057E-2</v>
      </c>
      <c r="P9" s="58">
        <f>AVERAGE(H9:L9)</f>
        <v>8.3447429206782234E-2</v>
      </c>
      <c r="Q9" s="3">
        <v>8.7800000000000003E-2</v>
      </c>
    </row>
    <row r="10" spans="2:17" x14ac:dyDescent="0.35">
      <c r="B10" t="str">
        <f>"EBITDA" &amp; " " &amp; "Growth"</f>
        <v>EBITDA Growth</v>
      </c>
      <c r="C10" s="58" t="s">
        <v>43</v>
      </c>
      <c r="D10" s="58">
        <f>IFERROR('Historical &amp; Forecasted FS'!D29/'Historical &amp; Forecasted FS'!C29-1,0)</f>
        <v>0.36795902205597408</v>
      </c>
      <c r="E10" s="58">
        <f>IFERROR('Historical &amp; Forecasted FS'!E29/'Historical &amp; Forecasted FS'!D29-1,0)</f>
        <v>-0.13127717491716651</v>
      </c>
      <c r="F10" s="58">
        <f>IFERROR('Historical &amp; Forecasted FS'!F29/'Historical &amp; Forecasted FS'!E29-1,0)</f>
        <v>1.378156502998773E-2</v>
      </c>
      <c r="G10" s="58">
        <f>IFERROR('Historical &amp; Forecasted FS'!G29/'Historical &amp; Forecasted FS'!F29-1,0)</f>
        <v>0.14405392931567396</v>
      </c>
      <c r="H10" s="191">
        <f>IFERROR('Historical &amp; Forecasted FS'!H29/'Historical &amp; Forecasted FS'!G29-1,0)</f>
        <v>-6.5084778914683228E-2</v>
      </c>
      <c r="I10" s="98">
        <f>IFERROR('Historical &amp; Forecasted FS'!I29/'Historical &amp; Forecasted FS'!H29-1,0)</f>
        <v>1.1336741765498148E-2</v>
      </c>
      <c r="J10" s="58">
        <f>IFERROR('Historical &amp; Forecasted FS'!J29/'Historical &amp; Forecasted FS'!I29-1,0)</f>
        <v>0.55452265204799334</v>
      </c>
      <c r="K10" s="58">
        <f>IFERROR('Historical &amp; Forecasted FS'!K29/'Historical &amp; Forecasted FS'!J29-1,0)</f>
        <v>8.5733534054710514E-2</v>
      </c>
      <c r="L10" s="191">
        <f>IFERROR('Historical &amp; Forecasted FS'!L29/'Historical &amp; Forecasted FS'!K29-1,0)</f>
        <v>-3.6164883063558584E-2</v>
      </c>
      <c r="M10" s="58"/>
      <c r="N10" s="58">
        <f t="shared" ref="N10:N13" si="2">IFERROR(AVERAGE(D10:L10),0)</f>
        <v>0.10498451193049216</v>
      </c>
      <c r="O10" s="58">
        <f t="shared" ref="O10:O13" si="3">IFERROR(MEDIAN(D10:L10),0)</f>
        <v>1.378156502998773E-2</v>
      </c>
      <c r="P10" s="58">
        <f t="shared" ref="P10:P13" si="4">AVERAGE(H10:L10)</f>
        <v>0.11006865317799204</v>
      </c>
      <c r="Q10" s="3">
        <v>9.74E-2</v>
      </c>
    </row>
    <row r="11" spans="2:17" x14ac:dyDescent="0.35">
      <c r="B11" t="str">
        <f>"EBIT" &amp; " " &amp; "Growth"</f>
        <v>EBIT Growth</v>
      </c>
      <c r="C11" s="58" t="s">
        <v>43</v>
      </c>
      <c r="D11" s="58">
        <f>IFERROR('Historical &amp; Forecasted FS'!D23/'Historical &amp; Forecasted FS'!C23-1,0)</f>
        <v>0.35668437994019397</v>
      </c>
      <c r="E11" s="58">
        <f>IFERROR('Historical &amp; Forecasted FS'!E23/'Historical &amp; Forecasted FS'!D23-1,0)</f>
        <v>-0.15732135336234732</v>
      </c>
      <c r="F11" s="58">
        <f>IFERROR('Historical &amp; Forecasted FS'!F23/'Historical &amp; Forecasted FS'!E23-1,0)</f>
        <v>2.1991203518592517E-2</v>
      </c>
      <c r="G11" s="58">
        <f>IFERROR('Historical &amp; Forecasted FS'!G23/'Historical &amp; Forecasted FS'!F23-1,0)</f>
        <v>0.15574465310380803</v>
      </c>
      <c r="H11" s="191">
        <f>IFERROR('Historical &amp; Forecasted FS'!H23/'Historical &amp; Forecasted FS'!G23-1,0)</f>
        <v>-9.8282038985584963E-2</v>
      </c>
      <c r="I11" s="98">
        <f>IFERROR('Historical &amp; Forecasted FS'!I23/'Historical &amp; Forecasted FS'!H23-1,0)</f>
        <v>3.6884091975598388E-2</v>
      </c>
      <c r="J11" s="58">
        <f>IFERROR('Historical &amp; Forecasted FS'!J23/'Historical &amp; Forecasted FS'!I23-1,0)</f>
        <v>0.64357048032826447</v>
      </c>
      <c r="K11" s="58">
        <f>IFERROR('Historical &amp; Forecasted FS'!K23/'Historical &amp; Forecasted FS'!J23-1,0)</f>
        <v>9.6265225013538513E-2</v>
      </c>
      <c r="L11" s="191">
        <f>IFERROR('Historical &amp; Forecasted FS'!L23/'Historical &amp; Forecasted FS'!K23-1,0)</f>
        <v>-4.3001749876503959E-2</v>
      </c>
      <c r="M11" s="58"/>
      <c r="N11" s="58">
        <f t="shared" si="2"/>
        <v>0.11250387685061775</v>
      </c>
      <c r="O11" s="58">
        <f t="shared" si="3"/>
        <v>3.6884091975598388E-2</v>
      </c>
      <c r="P11" s="58">
        <f t="shared" si="4"/>
        <v>0.1270872016910625</v>
      </c>
      <c r="Q11" s="3">
        <v>0.1016</v>
      </c>
    </row>
    <row r="12" spans="2:17" x14ac:dyDescent="0.35">
      <c r="B12" t="str">
        <f>"Net Profit" &amp; " " &amp; "Growth"</f>
        <v>Net Profit Growth</v>
      </c>
      <c r="C12" s="58" t="s">
        <v>43</v>
      </c>
      <c r="D12" s="58">
        <f>IFERROR('Historical &amp; Forecasted FS'!D47/'Historical &amp; Forecasted FS'!C47-1,0)</f>
        <v>0.3514047076689446</v>
      </c>
      <c r="E12" s="58">
        <f>IFERROR('Historical &amp; Forecasted FS'!E47/'Historical &amp; Forecasted FS'!D47-1,0)</f>
        <v>-0.14434206090571977</v>
      </c>
      <c r="F12" s="58">
        <f>IFERROR('Historical &amp; Forecasted FS'!F47/'Historical &amp; Forecasted FS'!E47-1,0)</f>
        <v>5.830980366406191E-2</v>
      </c>
      <c r="G12" s="58">
        <f>IFERROR('Historical &amp; Forecasted FS'!G47/'Historical &amp; Forecasted FS'!F47-1,0)</f>
        <v>0.23122582780087275</v>
      </c>
      <c r="H12" s="191">
        <f>IFERROR('Historical &amp; Forecasted FS'!H47/'Historical &amp; Forecasted FS'!G47-1,0)</f>
        <v>-7.1811325191916797E-2</v>
      </c>
      <c r="I12" s="98">
        <f>IFERROR('Historical &amp; Forecasted FS'!I47/'Historical &amp; Forecasted FS'!H47-1,0)</f>
        <v>3.9000289561314627E-2</v>
      </c>
      <c r="J12" s="58">
        <f>IFERROR('Historical &amp; Forecasted FS'!J47/'Historical &amp; Forecasted FS'!I47-1,0)</f>
        <v>0.64916131055024295</v>
      </c>
      <c r="K12" s="58">
        <f>IFERROR('Historical &amp; Forecasted FS'!K47/'Historical &amp; Forecasted FS'!J47-1,0)</f>
        <v>5.410857625686516E-2</v>
      </c>
      <c r="L12" s="191">
        <f>IFERROR('Historical &amp; Forecasted FS'!L47/'Historical &amp; Forecasted FS'!K47-1,0)</f>
        <v>-2.8135426790777851E-2</v>
      </c>
      <c r="M12" s="58"/>
      <c r="N12" s="58">
        <f t="shared" si="2"/>
        <v>0.12654685584598752</v>
      </c>
      <c r="O12" s="58">
        <f t="shared" si="3"/>
        <v>5.410857625686516E-2</v>
      </c>
      <c r="P12" s="58">
        <f t="shared" si="4"/>
        <v>0.12846468487714563</v>
      </c>
      <c r="Q12" s="3">
        <v>0.1037</v>
      </c>
    </row>
    <row r="13" spans="2:17" x14ac:dyDescent="0.35">
      <c r="B13" t="str">
        <f>"Dividend" &amp; " " &amp; "Growth"</f>
        <v>Dividend Growth</v>
      </c>
      <c r="C13" s="58" t="s">
        <v>43</v>
      </c>
      <c r="D13" s="58">
        <f>IFERROR('Historical &amp; Forecasted FS'!D55/'Historical &amp; Forecasted FS'!C55-1,0)</f>
        <v>8.6956521739130377E-2</v>
      </c>
      <c r="E13" s="58">
        <f>IFERROR('Historical &amp; Forecasted FS'!E55/'Historical &amp; Forecasted FS'!D55-1,0)</f>
        <v>0.10000000000000009</v>
      </c>
      <c r="F13" s="58">
        <f>IFERROR('Historical &amp; Forecasted FS'!F55/'Historical &amp; Forecasted FS'!E55-1,0)</f>
        <v>9.0909090909090828E-2</v>
      </c>
      <c r="G13" s="58">
        <f>IFERROR('Historical &amp; Forecasted FS'!G55/'Historical &amp; Forecasted FS'!F55-1,0)</f>
        <v>0.13333333333333353</v>
      </c>
      <c r="H13" s="58">
        <f>IFERROR('Historical &amp; Forecasted FS'!H55/'Historical &amp; Forecasted FS'!G55-1,0)</f>
        <v>0.10294117647058809</v>
      </c>
      <c r="I13" s="98">
        <f>IFERROR('Historical &amp; Forecasted FS'!I55/'Historical &amp; Forecasted FS'!H55-1,0)</f>
        <v>6.6666666666666652E-2</v>
      </c>
      <c r="J13" s="58">
        <f>IFERROR('Historical &amp; Forecasted FS'!J55/'Historical &amp; Forecasted FS'!I55-1,0)</f>
        <v>6.25E-2</v>
      </c>
      <c r="K13" s="58">
        <f>IFERROR('Historical &amp; Forecasted FS'!K55/'Historical &amp; Forecasted FS'!J55-1,0)</f>
        <v>5.8823529411764719E-2</v>
      </c>
      <c r="L13" s="58">
        <f>IFERROR('Historical &amp; Forecasted FS'!L55/'Historical &amp; Forecasted FS'!K55-1,0)</f>
        <v>4.4444444444444287E-2</v>
      </c>
      <c r="M13" s="58"/>
      <c r="N13" s="58">
        <f t="shared" si="2"/>
        <v>8.2952751441668734E-2</v>
      </c>
      <c r="O13" s="58">
        <f t="shared" si="3"/>
        <v>8.6956521739130377E-2</v>
      </c>
      <c r="P13" s="58">
        <f t="shared" si="4"/>
        <v>6.7075163398692753E-2</v>
      </c>
      <c r="Q13" s="3"/>
    </row>
    <row r="14" spans="2:17" x14ac:dyDescent="0.35">
      <c r="N14" s="58"/>
      <c r="O14" s="58"/>
      <c r="P14" s="58"/>
    </row>
    <row r="15" spans="2:17" x14ac:dyDescent="0.35">
      <c r="B15" t="str">
        <f>"Gross" &amp; " " &amp; "Margin"</f>
        <v>Gross Margin</v>
      </c>
      <c r="C15" s="58">
        <f>IFERROR('Historical &amp; Forecasted FS'!C15,0)</f>
        <v>0.38588035777783858</v>
      </c>
      <c r="D15" s="58">
        <f>IFERROR('Historical &amp; Forecasted FS'!D15,0)</f>
        <v>0.40059902017414373</v>
      </c>
      <c r="E15" s="58">
        <f>IFERROR('Historical &amp; Forecasted FS'!E15,0)</f>
        <v>0.39075955648097049</v>
      </c>
      <c r="F15" s="58">
        <f>IFERROR('Historical &amp; Forecasted FS'!F15,0)</f>
        <v>0.38469860491899105</v>
      </c>
      <c r="G15" s="58">
        <f>IFERROR('Historical &amp; Forecasted FS'!G15,0)</f>
        <v>0.38343718820007905</v>
      </c>
      <c r="H15" s="58">
        <f>IFERROR('Historical &amp; Forecasted FS'!H15,0)</f>
        <v>0.37817768109034722</v>
      </c>
      <c r="I15" s="98">
        <f>IFERROR('Historical &amp; Forecasted FS'!I15,0)</f>
        <v>0.38233247727810865</v>
      </c>
      <c r="J15" s="58">
        <f>IFERROR('Historical &amp; Forecasted FS'!J15,0)</f>
        <v>0.41779359625167778</v>
      </c>
      <c r="K15" s="58">
        <f>IFERROR('Historical &amp; Forecasted FS'!K15,0)</f>
        <v>0.43309630561360085</v>
      </c>
      <c r="L15" s="58">
        <f>IFERROR('Historical &amp; Forecasted FS'!L15,0)</f>
        <v>0.44131129577207562</v>
      </c>
      <c r="M15" s="58"/>
      <c r="N15" s="58">
        <f>IFERROR(AVERAGE(C15:L15),0)</f>
        <v>0.3998086083557833</v>
      </c>
      <c r="O15" s="58">
        <f>IFERROR(MEDIAN(C15:L15),0)</f>
        <v>0.38831995712940454</v>
      </c>
      <c r="P15" s="58">
        <f>AVERAGE(H15:L15)</f>
        <v>0.41054227120116205</v>
      </c>
      <c r="Q15" s="3">
        <f>'Data Sheet'!G303</f>
        <v>0.49759500000000001</v>
      </c>
    </row>
    <row r="16" spans="2:17" x14ac:dyDescent="0.35">
      <c r="B16" t="str">
        <f>"EBITDA" &amp; " " &amp; "Margin"</f>
        <v>EBITDA Margin</v>
      </c>
      <c r="C16" s="58">
        <f>IFERROR('Historical &amp; Forecasted FS'!C30,0)</f>
        <v>0.32467518258158046</v>
      </c>
      <c r="D16" s="58">
        <f>IFERROR('Historical &amp; Forecasted FS'!D30,0)</f>
        <v>0.347376077701474</v>
      </c>
      <c r="E16" s="58">
        <f>IFERROR('Historical &amp; Forecasted FS'!E30,0)</f>
        <v>0.32706977865784947</v>
      </c>
      <c r="F16" s="58">
        <f>IFERROR('Historical &amp; Forecasted FS'!F30,0)</f>
        <v>0.31191271800867237</v>
      </c>
      <c r="G16" s="58">
        <f>IFERROR('Historical &amp; Forecasted FS'!G30,0)</f>
        <v>0.30799149080366722</v>
      </c>
      <c r="H16" s="58">
        <f>IFERROR('Historical &amp; Forecasted FS'!H30,0)</f>
        <v>0.29394559025882677</v>
      </c>
      <c r="I16" s="98">
        <f>IFERROR('Historical &amp; Forecasted FS'!I30,0)</f>
        <v>0.2817478097736007</v>
      </c>
      <c r="J16" s="58">
        <f>IFERROR('Historical &amp; Forecasted FS'!J30,0)</f>
        <v>0.32866979938056462</v>
      </c>
      <c r="K16" s="58">
        <f>IFERROR('Historical &amp; Forecasted FS'!K30,0)</f>
        <v>0.3310467428130896</v>
      </c>
      <c r="L16" s="58">
        <f>IFERROR('Historical &amp; Forecasted FS'!L30,0)</f>
        <v>0.32826747720364741</v>
      </c>
      <c r="M16" s="58"/>
      <c r="N16" s="58">
        <f t="shared" ref="N16:N19" si="5">IFERROR(AVERAGE(C16:L16),0)</f>
        <v>0.31827026671829722</v>
      </c>
      <c r="O16" s="58">
        <f t="shared" ref="O16:O19" si="6">IFERROR(MEDIAN(C16:L16),0)</f>
        <v>0.32587248061971497</v>
      </c>
      <c r="P16" s="58">
        <f t="shared" ref="P16:P19" si="7">AVERAGE(H16:L16)</f>
        <v>0.3127354838859458</v>
      </c>
      <c r="Q16" s="3">
        <f>'Data Sheet'!G305</f>
        <v>0.31622479999999997</v>
      </c>
    </row>
    <row r="17" spans="2:17" x14ac:dyDescent="0.35">
      <c r="B17" t="str">
        <f>"EBIT" &amp; " " &amp; "Margin"</f>
        <v>EBIT Margin</v>
      </c>
      <c r="C17" s="58">
        <f>IFERROR('Historical &amp; Forecasted FS'!C24,0)</f>
        <v>0.28722339232473537</v>
      </c>
      <c r="D17" s="58">
        <f>IFERROR('Historical &amp; Forecasted FS'!D24,0)</f>
        <v>0.30477290717326661</v>
      </c>
      <c r="E17" s="58">
        <f>IFERROR('Historical &amp; Forecasted FS'!E24,0)</f>
        <v>0.27835410106706115</v>
      </c>
      <c r="F17" s="58">
        <f>IFERROR('Historical &amp; Forecasted FS'!F24,0)</f>
        <v>0.26760428208729942</v>
      </c>
      <c r="G17" s="58">
        <f>IFERROR('Historical &amp; Forecasted FS'!G24,0)</f>
        <v>0.26694026619477024</v>
      </c>
      <c r="H17" s="58">
        <f>IFERROR('Historical &amp; Forecasted FS'!H24,0)</f>
        <v>0.24572017188496928</v>
      </c>
      <c r="I17" s="98">
        <f>IFERROR('Historical &amp; Forecasted FS'!I24,0)</f>
        <v>0.24147314354406862</v>
      </c>
      <c r="J17" s="58">
        <f>IFERROR('Historical &amp; Forecasted FS'!J24,0)</f>
        <v>0.29782377527561593</v>
      </c>
      <c r="K17" s="58">
        <f>IFERROR('Historical &amp; Forecasted FS'!K24,0)</f>
        <v>0.30288744395528594</v>
      </c>
      <c r="L17" s="58">
        <f>IFERROR('Historical &amp; Forecasted FS'!L24,0)</f>
        <v>0.29821412265024722</v>
      </c>
      <c r="M17" s="58"/>
      <c r="N17" s="58">
        <f t="shared" si="5"/>
        <v>0.27910136061573199</v>
      </c>
      <c r="O17" s="58">
        <f t="shared" si="6"/>
        <v>0.28278874669589826</v>
      </c>
      <c r="P17" s="58">
        <f t="shared" si="7"/>
        <v>0.27722373146203744</v>
      </c>
      <c r="Q17" s="3">
        <f>'Data Sheet'!G307</f>
        <v>0.25094899999999998</v>
      </c>
    </row>
    <row r="18" spans="2:17" x14ac:dyDescent="0.35">
      <c r="B18" t="str">
        <f>"EBT" &amp; " " &amp; "Margin"</f>
        <v>EBT Margin</v>
      </c>
      <c r="C18" s="58">
        <f>IFERROR('Historical &amp; Forecasted FS'!C42,0)</f>
        <v>0.29258458929401787</v>
      </c>
      <c r="D18" s="58">
        <f>IFERROR('Historical &amp; Forecasted FS'!D42,0)</f>
        <v>0.31027105662880006</v>
      </c>
      <c r="E18" s="58">
        <f>IFERROR('Historical &amp; Forecasted FS'!E42,0)</f>
        <v>0.28460528939570301</v>
      </c>
      <c r="F18" s="58">
        <f>IFERROR('Historical &amp; Forecasted FS'!F42,0)</f>
        <v>0.27957894553164014</v>
      </c>
      <c r="G18" s="58">
        <f>IFERROR('Historical &amp; Forecasted FS'!G42,0)</f>
        <v>0.27448935409175623</v>
      </c>
      <c r="H18" s="58">
        <f>IFERROR('Historical &amp; Forecasted FS'!H42,0)</f>
        <v>0.25266552384173668</v>
      </c>
      <c r="I18" s="98">
        <f>IFERROR('Historical &amp; Forecasted FS'!I42,0)</f>
        <v>0.24439830246070343</v>
      </c>
      <c r="J18" s="58">
        <f>IFERROR('Historical &amp; Forecasted FS'!J42,0)</f>
        <v>0.29852904594373691</v>
      </c>
      <c r="K18" s="58">
        <f>IFERROR('Historical &amp; Forecasted FS'!K42,0)</f>
        <v>0.30204043334482966</v>
      </c>
      <c r="L18" s="58">
        <f>IFERROR('Historical &amp; Forecasted FS'!L42,0)</f>
        <v>0.29674002374212399</v>
      </c>
      <c r="M18" s="58"/>
      <c r="N18" s="58">
        <f t="shared" si="5"/>
        <v>0.28359025642750485</v>
      </c>
      <c r="O18" s="58">
        <f t="shared" si="6"/>
        <v>0.28859493934486047</v>
      </c>
      <c r="P18" s="58">
        <f t="shared" si="7"/>
        <v>0.27887466586662618</v>
      </c>
      <c r="Q18" s="3">
        <f>'Data Sheet'!G380/'Data Sheet'!G373</f>
        <v>0.24613900328316704</v>
      </c>
    </row>
    <row r="19" spans="2:17" x14ac:dyDescent="0.35">
      <c r="B19" t="str">
        <f>"Net Profit" &amp; " " &amp; "Margin"</f>
        <v>Net Profit Margin</v>
      </c>
      <c r="C19" s="58">
        <f>IFERROR('Historical &amp; Forecasted FS'!C48,0)</f>
        <v>0.21614376760852322</v>
      </c>
      <c r="D19" s="58">
        <f>IFERROR('Historical &amp; Forecasted FS'!D48,0)</f>
        <v>0.22845773698735639</v>
      </c>
      <c r="E19" s="58">
        <f>IFERROR('Historical &amp; Forecasted FS'!E48,0)</f>
        <v>0.211867983064288</v>
      </c>
      <c r="F19" s="58">
        <f>IFERROR('Historical &amp; Forecasted FS'!F48,0)</f>
        <v>0.21092420845075338</v>
      </c>
      <c r="G19" s="58">
        <f>IFERROR('Historical &amp; Forecasted FS'!G48,0)</f>
        <v>0.22414202074587247</v>
      </c>
      <c r="H19" s="58">
        <f>IFERROR('Historical &amp; Forecasted FS'!H48,0)</f>
        <v>0.21238094505984456</v>
      </c>
      <c r="I19" s="98">
        <f>IFERROR('Historical &amp; Forecasted FS'!I48,0)</f>
        <v>0.20913611278072236</v>
      </c>
      <c r="J19" s="58">
        <f>IFERROR('Historical &amp; Forecasted FS'!J48,0)</f>
        <v>0.25881793355694238</v>
      </c>
      <c r="K19" s="58">
        <f>IFERROR('Historical &amp; Forecasted FS'!K48,0)</f>
        <v>0.25309640705199732</v>
      </c>
      <c r="L19" s="58">
        <f>IFERROR('Historical &amp; Forecasted FS'!L48,0)</f>
        <v>0.25306234264320282</v>
      </c>
      <c r="M19" s="58"/>
      <c r="N19" s="58">
        <f t="shared" si="5"/>
        <v>0.22780294579495025</v>
      </c>
      <c r="O19" s="58">
        <f t="shared" si="6"/>
        <v>0.22014289417719785</v>
      </c>
      <c r="P19" s="58">
        <f t="shared" si="7"/>
        <v>0.23729874821854188</v>
      </c>
      <c r="Q19" s="3">
        <f>'Data Sheet'!G311</f>
        <v>0.2046742</v>
      </c>
    </row>
    <row r="20" spans="2:17" x14ac:dyDescent="0.35">
      <c r="N20" s="58"/>
      <c r="O20" s="58"/>
      <c r="P20" s="58"/>
    </row>
    <row r="21" spans="2:17" x14ac:dyDescent="0.35">
      <c r="B21" t="str">
        <f>"SalesExpenses" &amp; " " &amp; "%Sales"</f>
        <v>SalesExpenses %Sales</v>
      </c>
      <c r="C21" s="4">
        <f>IFERROR('Historical &amp; Forecasted FS'!C18,0)</f>
        <v>6.5609015563883044E-2</v>
      </c>
      <c r="D21" s="4">
        <f>IFERROR('Historical &amp; Forecasted FS'!D18,0)</f>
        <v>6.1309714823609952E-2</v>
      </c>
      <c r="E21" s="4">
        <f>IFERROR('Historical &amp; Forecasted FS'!E18,0)</f>
        <v>6.5822972653369755E-2</v>
      </c>
      <c r="F21" s="4">
        <f>IFERROR('Historical &amp; Forecasted FS'!F18,0)</f>
        <v>6.6573893924984945E-2</v>
      </c>
      <c r="G21" s="4">
        <f>IFERROR('Historical &amp; Forecasted FS'!G18,0)</f>
        <v>6.2896515371147807E-2</v>
      </c>
      <c r="H21" s="4">
        <f>IFERROR('Historical &amp; Forecasted FS'!H18,0)</f>
        <v>7.0126146348213125E-2</v>
      </c>
      <c r="I21" s="4">
        <f>IFERROR('Historical &amp; Forecasted FS'!I18,0)</f>
        <v>7.2549769593646979E-2</v>
      </c>
      <c r="J21" s="4">
        <f>IFERROR('Historical &amp; Forecasted FS'!J18,0)</f>
        <v>6.006555190163388E-2</v>
      </c>
      <c r="K21" s="4">
        <f>IFERROR('Historical &amp; Forecasted FS'!K18,0)</f>
        <v>6.3637378020328261E-2</v>
      </c>
      <c r="L21" s="4">
        <f>IFERROR('Historical &amp; Forecasted FS'!L18,0)</f>
        <v>6.5048201729783317E-2</v>
      </c>
      <c r="M21" s="4"/>
      <c r="N21" s="58">
        <f t="shared" ref="N21:N48" si="8">IFERROR(AVERAGE(C21:L21),0)</f>
        <v>6.5363915993060101E-2</v>
      </c>
      <c r="O21" s="58">
        <f t="shared" ref="O21:O48" si="9">IFERROR(MEDIAN(C21:L21),0)</f>
        <v>6.5328608646833181E-2</v>
      </c>
      <c r="P21" s="189">
        <f>AVERAGE(H21:L21)</f>
        <v>6.6285409518721111E-2</v>
      </c>
      <c r="Q21" s="3">
        <f>'Data Sheet'!G375/'Data Sheet'!G373</f>
        <v>0.14879070594634744</v>
      </c>
    </row>
    <row r="22" spans="2:17" x14ac:dyDescent="0.35">
      <c r="B22" t="str">
        <f>"Depreciation" &amp; " " &amp; "%Sales"</f>
        <v>Depreciation %Sales</v>
      </c>
      <c r="C22" s="4">
        <f>IFERROR('Historical &amp; Forecasted FS'!C27,0)</f>
        <v>3.7451790256845099E-2</v>
      </c>
      <c r="D22" s="4">
        <f>IFERROR('Historical &amp; Forecasted FS'!D27,0)</f>
        <v>4.2603170528207432E-2</v>
      </c>
      <c r="E22" s="4">
        <f>IFERROR('Historical &amp; Forecasted FS'!E27,0)</f>
        <v>4.8715677590788306E-2</v>
      </c>
      <c r="F22" s="4">
        <f>IFERROR('Historical &amp; Forecasted FS'!F27,0)</f>
        <v>4.4308435921372923E-2</v>
      </c>
      <c r="G22" s="4">
        <f>IFERROR('Historical &amp; Forecasted FS'!G27,0)</f>
        <v>4.1051224608897006E-2</v>
      </c>
      <c r="H22" s="4">
        <f>IFERROR('Historical &amp; Forecasted FS'!H27,0)</f>
        <v>4.8225418373857493E-2</v>
      </c>
      <c r="I22" s="4">
        <f>IFERROR('Historical &amp; Forecasted FS'!I27,0)</f>
        <v>4.0274666229532081E-2</v>
      </c>
      <c r="J22" s="4">
        <f>IFERROR('Historical &amp; Forecasted FS'!J27,0)</f>
        <v>3.084602410494865E-2</v>
      </c>
      <c r="K22" s="4">
        <f>IFERROR('Historical &amp; Forecasted FS'!K27,0)</f>
        <v>2.8159298857803657E-2</v>
      </c>
      <c r="L22" s="4">
        <f>IFERROR('Historical &amp; Forecasted FS'!L27,0)</f>
        <v>3.0053354553400212E-2</v>
      </c>
      <c r="M22" s="4"/>
      <c r="N22" s="58">
        <f t="shared" si="8"/>
        <v>3.9168906102565286E-2</v>
      </c>
      <c r="O22" s="58">
        <f t="shared" si="9"/>
        <v>4.0662945419214544E-2</v>
      </c>
      <c r="P22" s="58">
        <f>AVERAGE(H22:L22)</f>
        <v>3.5511752423908416E-2</v>
      </c>
    </row>
    <row r="23" spans="2:17" x14ac:dyDescent="0.35">
      <c r="N23" s="58"/>
      <c r="O23" s="58"/>
      <c r="P23" s="58"/>
    </row>
    <row r="24" spans="2:17" x14ac:dyDescent="0.35">
      <c r="B24" s="1" t="s">
        <v>250</v>
      </c>
      <c r="N24" s="58"/>
      <c r="O24" s="58"/>
      <c r="P24" s="58"/>
    </row>
    <row r="25" spans="2:17" x14ac:dyDescent="0.35">
      <c r="B25" t="s">
        <v>245</v>
      </c>
      <c r="C25" s="4">
        <f>IFERROR('Historical &amp; Forecasted FS'!C23/('Historical &amp; Forecasted FS'!C97+'Historical &amp; Forecasted FS'!C106),0)</f>
        <v>0.31179219792031643</v>
      </c>
      <c r="D25" s="4">
        <f>IFERROR('Historical &amp; Forecasted FS'!D23/('Historical &amp; Forecasted FS'!D97+'Historical &amp; Forecasted FS'!D106),0)</f>
        <v>0.33961904307817009</v>
      </c>
      <c r="E25" s="4">
        <f>IFERROR('Historical &amp; Forecasted FS'!E23/('Historical &amp; Forecasted FS'!E97+'Historical &amp; Forecasted FS'!E106),0)</f>
        <v>0.24733805834844239</v>
      </c>
      <c r="F25" s="4">
        <f>IFERROR('Historical &amp; Forecasted FS'!F23/('Historical &amp; Forecasted FS'!F97+'Historical &amp; Forecasted FS'!F106),0)</f>
        <v>0.22347133931986668</v>
      </c>
      <c r="G25" s="4">
        <f>IFERROR('Historical &amp; Forecasted FS'!G23/('Historical &amp; Forecasted FS'!G97+'Historical &amp; Forecasted FS'!G106),0)</f>
        <v>0.28382360005764706</v>
      </c>
      <c r="H25" s="4">
        <f>IFERROR('Historical &amp; Forecasted FS'!H23/('Historical &amp; Forecasted FS'!H97+'Historical &amp; Forecasted FS'!H106),0)</f>
        <v>0.27461576130379128</v>
      </c>
      <c r="I25" s="4">
        <f>IFERROR('Historical &amp; Forecasted FS'!I23/('Historical &amp; Forecasted FS'!I97+'Historical &amp; Forecasted FS'!I106),0)</f>
        <v>0.30338312829525482</v>
      </c>
      <c r="J25" s="4">
        <f>IFERROR('Historical &amp; Forecasted FS'!J23/('Historical &amp; Forecasted FS'!J97+'Historical &amp; Forecasted FS'!J106),0)</f>
        <v>0.48309913489209433</v>
      </c>
      <c r="K25" s="4">
        <f>IFERROR('Historical &amp; Forecasted FS'!K23/('Historical &amp; Forecasted FS'!K97+'Historical &amp; Forecasted FS'!K106),0)</f>
        <v>0.60087134570590572</v>
      </c>
      <c r="L25" s="4">
        <f>IFERROR('Historical &amp; Forecasted FS'!L23/('Historical &amp; Forecasted FS'!L97+'Historical &amp; Forecasted FS'!L106),0)</f>
        <v>0.55144614642383305</v>
      </c>
      <c r="M25" s="4"/>
      <c r="N25" s="58">
        <f t="shared" si="8"/>
        <v>0.36194597553453217</v>
      </c>
      <c r="O25" s="58">
        <f t="shared" si="9"/>
        <v>0.30758766310778562</v>
      </c>
      <c r="P25" s="189">
        <f>AVERAGE(H25:L25)</f>
        <v>0.44268310332417588</v>
      </c>
      <c r="Q25" s="3">
        <f>'Data Sheet'!G298</f>
        <v>0.23995380000000002</v>
      </c>
    </row>
    <row r="26" spans="2:17" x14ac:dyDescent="0.35">
      <c r="B26" t="s">
        <v>247</v>
      </c>
      <c r="C26" s="4">
        <f>IFERROR('Historical &amp; Forecasted FS'!C58,0)</f>
        <v>0.72681001670463175</v>
      </c>
      <c r="D26" s="4">
        <f>IFERROR('Historical &amp; Forecasted FS'!D58,0)</f>
        <v>0.79103446080083906</v>
      </c>
      <c r="E26" s="4">
        <f>IFERROR('Historical &amp; Forecasted FS'!E58,0)</f>
        <v>0.7430436404228774</v>
      </c>
      <c r="F26" s="4">
        <f>IFERROR('Historical &amp; Forecasted FS'!F58,0)</f>
        <v>0.74555061115592225</v>
      </c>
      <c r="G26" s="4">
        <f>IFERROR('Historical &amp; Forecasted FS'!G58,0)</f>
        <v>0.78274240446154097</v>
      </c>
      <c r="H26" s="4">
        <f>IFERROR('Historical &amp; Forecasted FS'!H58,0)</f>
        <v>0.75876451426089475</v>
      </c>
      <c r="I26" s="4">
        <f>IFERROR('Historical &amp; Forecasted FS'!I58,0)</f>
        <v>0.76343539739771127</v>
      </c>
      <c r="J26" s="4">
        <f>IFERROR('Historical &amp; Forecasted FS'!J58,0)</f>
        <v>0.85252674165610476</v>
      </c>
      <c r="K26" s="4">
        <f>IFERROR('Historical &amp; Forecasted FS'!K58,0)</f>
        <v>0.85622594010200093</v>
      </c>
      <c r="L26" s="4">
        <f>IFERROR('Historical &amp; Forecasted FS'!L58,0)</f>
        <v>0.84930091922264039</v>
      </c>
      <c r="M26" s="4"/>
      <c r="N26" s="58">
        <f t="shared" si="8"/>
        <v>0.78694346461851639</v>
      </c>
      <c r="O26" s="58">
        <f t="shared" si="9"/>
        <v>0.77308890092962612</v>
      </c>
      <c r="P26" s="189">
        <f t="shared" ref="P26:P29" si="10">AVERAGE(H26:L26)</f>
        <v>0.81605070252787049</v>
      </c>
      <c r="Q26" s="4">
        <f>1-'Data Sheet'!G396</f>
        <v>0.61157879894673517</v>
      </c>
    </row>
    <row r="27" spans="2:17" x14ac:dyDescent="0.35">
      <c r="B27" t="s">
        <v>246</v>
      </c>
      <c r="C27" s="4">
        <f>IFERROR('Historical &amp; Forecasted FS'!C47/('Historical &amp; Forecasted FS'!C106),0)</f>
        <v>0.35420047155010892</v>
      </c>
      <c r="D27" s="4">
        <f>IFERROR('Historical &amp; Forecasted FS'!D47/('Historical &amp; Forecasted FS'!D106),0)</f>
        <v>0.44735453060198566</v>
      </c>
      <c r="E27" s="4">
        <f>IFERROR('Historical &amp; Forecasted FS'!E47/('Historical &amp; Forecasted FS'!E106),0)</f>
        <v>0.35623669580269629</v>
      </c>
      <c r="F27" s="4">
        <f>IFERROR('Historical &amp; Forecasted FS'!F47/('Historical &amp; Forecasted FS'!F106),0)</f>
        <v>0.36070184338329092</v>
      </c>
      <c r="G27" s="4">
        <f>IFERROR('Historical &amp; Forecasted FS'!G47/('Historical &amp; Forecasted FS'!G106),0)</f>
        <v>0.5556011834209077</v>
      </c>
      <c r="H27" s="4">
        <f>'Historical &amp; Forecasted FS'!H47/(('Historical &amp; Forecasted FS'!H106+'Historical &amp; Forecasted FS'!G106)/2)</f>
        <v>0.55917221139980267</v>
      </c>
      <c r="I27" s="4">
        <f>IFERROR('Historical &amp; Forecasted FS'!I47/(('Historical &amp; Forecasted FS'!I106+'Historical &amp; Forecasted FS'!H106)/2),0)</f>
        <v>0.73685561552234213</v>
      </c>
      <c r="J27" s="4">
        <f>IFERROR('Historical &amp; Forecasted FS'!J47/(('Historical &amp; Forecasted FS'!J106+'Historical &amp; Forecasted FS'!I106)/2),0)</f>
        <v>1.4744333444938449</v>
      </c>
      <c r="K27" s="4">
        <f>IFERROR('Historical &amp; Forecasted FS'!K47/(('Historical &amp; Forecasted FS'!K106+'Historical &amp; Forecasted FS'!J106)/2),0)</f>
        <v>1.7545929220653644</v>
      </c>
      <c r="L27" s="4">
        <f>IFERROR('Historical &amp; Forecasted FS'!L47/(('Historical &amp; Forecasted FS'!L106+'Historical &amp; Forecasted FS'!K106)/2),0)</f>
        <v>1.7194951160275842</v>
      </c>
      <c r="M27" s="4"/>
      <c r="N27" s="58">
        <f t="shared" si="8"/>
        <v>0.83186439342679286</v>
      </c>
      <c r="O27" s="58">
        <f t="shared" si="9"/>
        <v>0.55738669741035518</v>
      </c>
      <c r="P27" s="189">
        <f t="shared" si="10"/>
        <v>1.2489098419017877</v>
      </c>
      <c r="Q27" s="3">
        <f>'Data Sheet'!G299</f>
        <v>0.31194680000000002</v>
      </c>
    </row>
    <row r="28" spans="2:17" x14ac:dyDescent="0.35">
      <c r="B28" t="s">
        <v>248</v>
      </c>
      <c r="C28" s="4">
        <f t="shared" ref="C28:G28" si="11">IFERROR(C27*C26,0)</f>
        <v>0.25743645064412313</v>
      </c>
      <c r="D28" s="4">
        <f t="shared" si="11"/>
        <v>0.35387284990155415</v>
      </c>
      <c r="E28" s="4">
        <f t="shared" si="11"/>
        <v>0.26469941130145264</v>
      </c>
      <c r="F28" s="4">
        <f t="shared" si="11"/>
        <v>0.26892147977948028</v>
      </c>
      <c r="G28" s="4">
        <f t="shared" si="11"/>
        <v>0.43489260623255893</v>
      </c>
      <c r="H28" s="4">
        <f>IFERROR(H27*H26,0)</f>
        <v>0.4242800313709616</v>
      </c>
      <c r="I28" s="4">
        <f>IFERROR(I27*I26,0)</f>
        <v>0.56254165966103442</v>
      </c>
      <c r="J28" s="4">
        <f t="shared" ref="J28:L28" si="12">IFERROR(J27*J26,0)</f>
        <v>1.2569938549704507</v>
      </c>
      <c r="K28" s="4">
        <f t="shared" si="12"/>
        <v>1.5023279741917335</v>
      </c>
      <c r="L28" s="4">
        <f t="shared" si="12"/>
        <v>1.4603687826410681</v>
      </c>
      <c r="M28" s="4"/>
      <c r="N28" s="58">
        <f t="shared" si="8"/>
        <v>0.67863351006944173</v>
      </c>
      <c r="O28" s="58">
        <f t="shared" si="9"/>
        <v>0.42958631880176024</v>
      </c>
      <c r="P28" s="189">
        <f t="shared" si="10"/>
        <v>1.0413024605670498</v>
      </c>
      <c r="Q28" s="4">
        <f>Q27*Q26</f>
        <v>0.19078004927927741</v>
      </c>
    </row>
    <row r="29" spans="2:17" x14ac:dyDescent="0.35">
      <c r="B29" t="s">
        <v>249</v>
      </c>
      <c r="C29" s="62">
        <f>IFERROR('Historical &amp; Forecasted FS'!C23/-'Data Sheet'!B34,0)</f>
        <v>136.7265625</v>
      </c>
      <c r="D29" s="62">
        <f>IFERROR('Historical &amp; Forecasted FS'!D23/-'Data Sheet'!C34,0)</f>
        <v>97.17598908594816</v>
      </c>
      <c r="E29" s="62">
        <f>IFERROR('Historical &amp; Forecasted FS'!E23/-'Data Sheet'!D34,0)</f>
        <v>41.225274725274723</v>
      </c>
      <c r="F29" s="62">
        <f>IFERROR('Historical &amp; Forecasted FS'!F23/-'Data Sheet'!E34,0)</f>
        <v>26.407232027550581</v>
      </c>
      <c r="G29" s="62">
        <f>IFERROR('Historical &amp; Forecasted FS'!G23/-'Data Sheet'!F34,0)</f>
        <v>21.882098765432097</v>
      </c>
      <c r="H29" s="62">
        <f>IFERROR('Historical &amp; Forecasted FS'!H23/-'Data Sheet'!G34,0)</f>
        <v>17.877516778523489</v>
      </c>
      <c r="I29" s="62">
        <f>IFERROR('Historical &amp; Forecasted FS'!I23/-'Data Sheet'!H34,0)</f>
        <v>23.072746258266619</v>
      </c>
      <c r="J29" s="62">
        <f>IFERROR('Historical &amp; Forecasted FS'!J23/-'Data Sheet'!I34,0)</f>
        <v>41.190548204158787</v>
      </c>
      <c r="K29" s="62">
        <f>IFERROR('Historical &amp; Forecasted FS'!K23/-'Data Sheet'!J34,0)</f>
        <v>40.749573524394407</v>
      </c>
      <c r="L29" s="62">
        <f>IFERROR('Historical &amp; Forecasted FS'!L23/-'Data Sheet'!K34,0)</f>
        <v>29.062039155860667</v>
      </c>
      <c r="M29" s="4"/>
      <c r="N29" s="62">
        <f t="shared" si="8"/>
        <v>47.536958102540957</v>
      </c>
      <c r="O29" s="62">
        <f t="shared" si="9"/>
        <v>34.90580634012754</v>
      </c>
      <c r="P29" s="190">
        <f t="shared" si="10"/>
        <v>30.390484784240794</v>
      </c>
      <c r="Q29" s="62">
        <f>'Data Sheet'!G351</f>
        <v>18.186366800000002</v>
      </c>
    </row>
    <row r="30" spans="2:17" x14ac:dyDescent="0.35">
      <c r="B30" t="s">
        <v>319</v>
      </c>
      <c r="C30" s="62"/>
      <c r="D30" s="62"/>
      <c r="E30" s="62"/>
      <c r="F30" s="62"/>
      <c r="G30" s="62"/>
      <c r="H30" s="3">
        <f>SUM('Historical &amp; Forecasted FS'!H92:H93,'Historical &amp; Forecasted FS'!H85:H87)/'Historical &amp; Forecasted FS'!H106</f>
        <v>1.1940478295464592</v>
      </c>
      <c r="I30" s="3">
        <f>SUM('Historical &amp; Forecasted FS'!I92:I93,'Historical &amp; Forecasted FS'!I85:I87)/'Historical &amp; Forecasted FS'!I106</f>
        <v>1.871439722064923</v>
      </c>
      <c r="J30" s="3">
        <f>SUM('Historical &amp; Forecasted FS'!J92:J93,'Historical &amp; Forecasted FS'!J85:J87)/'Historical &amp; Forecasted FS'!J106</f>
        <v>2.1639245522269772</v>
      </c>
      <c r="K30" s="3">
        <f>SUM('Historical &amp; Forecasted FS'!K92:K93,'Historical &amp; Forecasted FS'!K85:K87)/'Historical &amp; Forecasted FS'!K106</f>
        <v>2.6144616356173036</v>
      </c>
      <c r="L30" s="3">
        <f>SUM('Historical &amp; Forecasted FS'!L92:L93,'Historical &amp; Forecasted FS'!L85:L87)/'Historical &amp; Forecasted FS'!L106</f>
        <v>1.9941750072410132</v>
      </c>
      <c r="M30" s="4"/>
      <c r="N30" s="62"/>
      <c r="O30" s="62"/>
      <c r="P30" s="191">
        <f>AVERAGE(H30:L30)</f>
        <v>1.9676097493393354</v>
      </c>
      <c r="Q30" s="3">
        <f>'Data Sheet'!G446/'Data Sheet'!G441</f>
        <v>0.72229341134739278</v>
      </c>
    </row>
    <row r="31" spans="2:17" x14ac:dyDescent="0.35">
      <c r="N31" s="4"/>
    </row>
    <row r="32" spans="2:17" x14ac:dyDescent="0.35">
      <c r="B32" t="s">
        <v>251</v>
      </c>
      <c r="N32" s="4"/>
    </row>
    <row r="33" spans="2:17" x14ac:dyDescent="0.35">
      <c r="B33" t="str">
        <f>"Receivable" &amp; " " &amp; "Turnover"</f>
        <v>Receivable Turnover</v>
      </c>
      <c r="C33" s="62"/>
      <c r="D33" s="62">
        <f>IFERROR('Historical &amp; Forecasted FS'!D8/(('Historical &amp; Forecasted FS'!D67+'Historical &amp; Forecasted FS'!C67)/2),0)</f>
        <v>13.624121950508613</v>
      </c>
      <c r="E33" s="62">
        <f>IFERROR('Historical &amp; Forecasted FS'!E8/(('Historical &amp; Forecasted FS'!E67+'Historical &amp; Forecasted FS'!D67)/2),0)</f>
        <v>13.228169186884642</v>
      </c>
      <c r="F33" s="62">
        <f>IFERROR('Historical &amp; Forecasted FS'!F8/(('Historical &amp; Forecasted FS'!F67+'Historical &amp; Forecasted FS'!E67)/2),0)</f>
        <v>13.633519685975973</v>
      </c>
      <c r="G33" s="62">
        <f>IFERROR('Historical &amp; Forecasted FS'!G8/(('Historical &amp; Forecasted FS'!G67+'Historical &amp; Forecasted FS'!F67)/2),0)</f>
        <v>12.936921578178275</v>
      </c>
      <c r="H33" s="62">
        <f>IFERROR('Historical &amp; Forecasted FS'!H8/(('Historical &amp; Forecasted FS'!H67+'Historical &amp; Forecasted FS'!G67)/2),0)</f>
        <v>11.284437890353921</v>
      </c>
      <c r="I33" s="62">
        <f>IFERROR('Historical &amp; Forecasted FS'!I8/(('Historical &amp; Forecasted FS'!I67+'Historical &amp; Forecasted FS'!H67)/2),0)</f>
        <v>14.061107411770731</v>
      </c>
      <c r="J33" s="62">
        <f>IFERROR('Historical &amp; Forecasted FS'!J8/(('Historical &amp; Forecasted FS'!J67+'Historical &amp; Forecasted FS'!I67)/2),0)</f>
        <v>17.256332845888956</v>
      </c>
      <c r="K33" s="62">
        <f>IFERROR('Historical &amp; Forecasted FS'!K8/(('Historical &amp; Forecasted FS'!K67+'Historical &amp; Forecasted FS'!J67)/2),0)</f>
        <v>14.480849032352832</v>
      </c>
      <c r="L33" s="62">
        <f>IFERROR('Historical &amp; Forecasted FS'!L8/(('Historical &amp; Forecasted FS'!L67+'Historical &amp; Forecasted FS'!K67)/2),0)</f>
        <v>13.287284198849061</v>
      </c>
      <c r="M33" s="62"/>
      <c r="N33" s="62">
        <f t="shared" si="8"/>
        <v>13.754749308973668</v>
      </c>
      <c r="O33" s="62">
        <f t="shared" si="9"/>
        <v>13.624121950508613</v>
      </c>
      <c r="P33" s="190">
        <f>AVERAGE(H33:L33)</f>
        <v>14.074002275843103</v>
      </c>
      <c r="Q33" s="62">
        <f>'Data Sheet'!G320</f>
        <v>7.2436786</v>
      </c>
    </row>
    <row r="34" spans="2:17" x14ac:dyDescent="0.35">
      <c r="B34" t="str">
        <f>"Payable" &amp; " " &amp; "Turnover"</f>
        <v>Payable Turnover</v>
      </c>
      <c r="C34" s="62"/>
      <c r="D34" s="62">
        <f>'Historical &amp; Forecasted FS'!D11/(('Historical &amp; Forecasted FS'!D84+'Historical &amp; Forecasted FS'!C84)/2)</f>
        <v>4.265414243522212</v>
      </c>
      <c r="E34" s="62">
        <f>'Historical &amp; Forecasted FS'!E11/(('Historical &amp; Forecasted FS'!E84+'Historical &amp; Forecasted FS'!D84)/2)</f>
        <v>3.6100241811387117</v>
      </c>
      <c r="F34" s="62">
        <f>'Historical &amp; Forecasted FS'!F11/(('Historical &amp; Forecasted FS'!F84+'Historical &amp; Forecasted FS'!E84)/2)</f>
        <v>3.4597723704866561</v>
      </c>
      <c r="G34" s="62">
        <f>'Historical &amp; Forecasted FS'!G11/(('Historical &amp; Forecasted FS'!G84+'Historical &amp; Forecasted FS'!F84)/2)</f>
        <v>3.2708678717667032</v>
      </c>
      <c r="H34" s="62">
        <f>'Historical &amp; Forecasted FS'!H11/(('Historical &amp; Forecasted FS'!H84+'Historical &amp; Forecasted FS'!G84)/2)</f>
        <v>3.1683443656731032</v>
      </c>
      <c r="I34" s="62">
        <f>'Historical &amp; Forecasted FS'!I11/(('Historical &amp; Forecasted FS'!I84+'Historical &amp; Forecasted FS'!H84)/2)</f>
        <v>3.8304567839877106</v>
      </c>
      <c r="J34" s="62">
        <f>'Historical &amp; Forecasted FS'!J11/(('Historical &amp; Forecasted FS'!J84+'Historical &amp; Forecasted FS'!I84)/2)</f>
        <v>4.3886914145004585</v>
      </c>
      <c r="K34" s="62">
        <f>'Historical &amp; Forecasted FS'!K11/(('Historical &amp; Forecasted FS'!K84+'Historical &amp; Forecasted FS'!J84)/2)</f>
        <v>3.7609313750231328</v>
      </c>
      <c r="L34" s="62">
        <f>'Historical &amp; Forecasted FS'!L11/(('Historical &amp; Forecasted FS'!L84+'Historical &amp; Forecasted FS'!K84)/2)</f>
        <v>3.3795274844941052</v>
      </c>
      <c r="M34" s="62"/>
      <c r="N34" s="62">
        <f t="shared" si="8"/>
        <v>3.681558898954755</v>
      </c>
      <c r="O34" s="62">
        <f t="shared" si="9"/>
        <v>3.6100241811387117</v>
      </c>
      <c r="P34" s="62">
        <f t="shared" ref="P34:P37" si="13">AVERAGE(H34:L34)</f>
        <v>3.7055902847357016</v>
      </c>
      <c r="Q34" s="62">
        <f>'Data Sheet'!G374/'Data Sheet'!G428</f>
        <v>4.871056478687259</v>
      </c>
    </row>
    <row r="35" spans="2:17" x14ac:dyDescent="0.35">
      <c r="B35" t="str">
        <f>"Inventory" &amp; " " &amp; "Turnover"</f>
        <v>Inventory Turnover</v>
      </c>
      <c r="C35" s="62"/>
      <c r="D35" s="62">
        <f>IFERROR('Historical &amp; Forecasted FS'!D11/(('Historical &amp; Forecasted FS'!D70+'Historical &amp; Forecasted FS'!C70)/2),0)</f>
        <v>62.820179372197309</v>
      </c>
      <c r="E35" s="62">
        <f>IFERROR('Historical &amp; Forecasted FS'!E11/(('Historical &amp; Forecasted FS'!E70+'Historical &amp; Forecasted FS'!D70)/2),0)</f>
        <v>58.636911403704531</v>
      </c>
      <c r="F35" s="62">
        <f>IFERROR('Historical &amp; Forecasted FS'!F11/(('Historical &amp; Forecasted FS'!F70+'Historical &amp; Forecasted FS'!E70)/2),0)</f>
        <v>40.374409617861744</v>
      </c>
      <c r="G35" s="62">
        <f>IFERROR('Historical &amp; Forecasted FS'!G11/(('Historical &amp; Forecasted FS'!G70+'Historical &amp; Forecasted FS'!F70)/2),0)</f>
        <v>37.170809215753039</v>
      </c>
      <c r="H35" s="62">
        <f>IFERROR('Historical &amp; Forecasted FS'!H11/(('Historical &amp; Forecasted FS'!H70+'Historical &amp; Forecasted FS'!G70)/2),0)</f>
        <v>40.134457950880673</v>
      </c>
      <c r="I35" s="62">
        <f>IFERROR('Historical &amp; Forecasted FS'!I11/(('Historical &amp; Forecasted FS'!I70+'Historical &amp; Forecasted FS'!H70)/2),0)</f>
        <v>41.52295824660218</v>
      </c>
      <c r="J35" s="62">
        <f>IFERROR('Historical &amp; Forecasted FS'!J11/(('Historical &amp; Forecasted FS'!J70+'Historical &amp; Forecasted FS'!I70)/2),0)</f>
        <v>40.030260313880277</v>
      </c>
      <c r="K35" s="62">
        <f>IFERROR('Historical &amp; Forecasted FS'!K11/(('Historical &amp; Forecasted FS'!K70+'Historical &amp; Forecasted FS'!J70)/2),0)</f>
        <v>38.789866389033492</v>
      </c>
      <c r="L35" s="62">
        <f>IFERROR('Historical &amp; Forecasted FS'!L11/(('Historical &amp; Forecasted FS'!L70+'Historical &amp; Forecasted FS'!K70)/2),0)</f>
        <v>37.977653631284916</v>
      </c>
      <c r="M35" s="62"/>
      <c r="N35" s="62">
        <f t="shared" si="8"/>
        <v>44.161945126799793</v>
      </c>
      <c r="O35" s="62">
        <f t="shared" si="9"/>
        <v>40.134457950880673</v>
      </c>
      <c r="P35" s="190">
        <f t="shared" si="13"/>
        <v>39.691039306336307</v>
      </c>
      <c r="Q35" s="62">
        <f>'Data Sheet'!G321</f>
        <v>8.9695413999999989</v>
      </c>
    </row>
    <row r="36" spans="2:17" x14ac:dyDescent="0.35">
      <c r="B36" t="str">
        <f>"Fixed Asset" &amp; " " &amp; "Turnover"</f>
        <v>Fixed Asset Turnover</v>
      </c>
      <c r="C36" s="62">
        <f>IFERROR('Historical &amp; Forecasted FS'!C8/'Historical &amp; Forecasted FS'!C76,0)</f>
        <v>8.863217610550814</v>
      </c>
      <c r="D36" s="62">
        <f>IFERROR('Historical &amp; Forecasted FS'!D8/'Historical &amp; Forecasted FS'!D76,0)</f>
        <v>10.400738729918562</v>
      </c>
      <c r="E36" s="62">
        <f>IFERROR('Historical &amp; Forecasted FS'!E8/'Historical &amp; Forecasted FS'!E76,0)</f>
        <v>7.9836727138096997</v>
      </c>
      <c r="F36" s="62">
        <f>IFERROR('Historical &amp; Forecasted FS'!F8/'Historical &amp; Forecasted FS'!F76,0)</f>
        <v>6.7854838232246992</v>
      </c>
      <c r="G36" s="62">
        <f>IFERROR('Historical &amp; Forecasted FS'!G8/'Historical &amp; Forecasted FS'!G76,0)</f>
        <v>6.4302488863064111</v>
      </c>
      <c r="H36" s="62">
        <f>IFERROR('Historical &amp; Forecasted FS'!H8/'Historical &amp; Forecasted FS'!H76,0)</f>
        <v>6.9606185456685754</v>
      </c>
      <c r="I36" s="62">
        <f>IFERROR('Historical &amp; Forecasted FS'!I8/'Historical &amp; Forecasted FS'!I76,0)</f>
        <v>6.0551217575436738</v>
      </c>
      <c r="J36" s="62">
        <f>IFERROR('Historical &amp; Forecasted FS'!J8/AVERAGE('Historical &amp; Forecasted FS'!J76,'Historical &amp; Forecasted FS'!I76),0)</f>
        <v>7.7125328104740518</v>
      </c>
      <c r="K36" s="62">
        <f>IFERROR('Historical &amp; Forecasted FS'!K8/AVERAGE('Historical &amp; Forecasted FS'!K76,'Historical &amp; Forecasted FS'!J76),0)</f>
        <v>7.7273003399927491</v>
      </c>
      <c r="L36" s="62">
        <f>IFERROR('Historical &amp; Forecasted FS'!L8/AVERAGE('Historical &amp; Forecasted FS'!L76,'Historical &amp; Forecasted FS'!K76),0)</f>
        <v>7.1702366476475543</v>
      </c>
      <c r="M36" s="62"/>
      <c r="N36" s="62">
        <f t="shared" si="8"/>
        <v>7.6089171865136791</v>
      </c>
      <c r="O36" s="62">
        <f t="shared" si="9"/>
        <v>7.4413847290608031</v>
      </c>
      <c r="P36" s="62">
        <f t="shared" si="13"/>
        <v>7.1251620202653196</v>
      </c>
      <c r="Q36" s="62">
        <f>'Data Sheet'!G319</f>
        <v>4.2199337999999997</v>
      </c>
    </row>
    <row r="37" spans="2:17" x14ac:dyDescent="0.35">
      <c r="B37" t="str">
        <f>"Capital" &amp; " " &amp; "Turnover"</f>
        <v>Capital Turnover</v>
      </c>
      <c r="C37" s="62">
        <f>IFERROR('Historical &amp; Forecasted FS'!C8/'Historical &amp; Forecasted FS'!C106,0)</f>
        <v>1.6387262768160507</v>
      </c>
      <c r="D37" s="62">
        <f>IFERROR('Historical &amp; Forecasted FS'!D8/AVERAGE('Historical &amp; Forecasted FS'!D106,'Historical &amp; Forecasted FS'!C106),0)</f>
        <v>2.0243653151553471</v>
      </c>
      <c r="E37" s="62">
        <f>IFERROR('Historical &amp; Forecasted FS'!E8/AVERAGE('Historical &amp; Forecasted FS'!E106,'Historical &amp; Forecasted FS'!D106),0)</f>
        <v>1.7418054635627858</v>
      </c>
      <c r="F37" s="62">
        <f>IFERROR('Historical &amp; Forecasted FS'!F8/AVERAGE('Historical &amp; Forecasted FS'!F106,'Historical &amp; Forecasted FS'!E106),0)</f>
        <v>1.7479031323390368</v>
      </c>
      <c r="G37" s="62">
        <f>IFERROR('Historical &amp; Forecasted FS'!G8/AVERAGE('Historical &amp; Forecasted FS'!G106,'Historical &amp; Forecasted FS'!F106),0)</f>
        <v>2.202335049793942</v>
      </c>
      <c r="H37" s="62">
        <f>IFERROR('Historical &amp; Forecasted FS'!H8/AVERAGE('Historical &amp; Forecasted FS'!H106,'Historical &amp; Forecasted FS'!G106),0)</f>
        <v>2.6328737318794748</v>
      </c>
      <c r="I37" s="62">
        <f>IFERROR('Historical &amp; Forecasted FS'!I8/AVERAGE('Historical &amp; Forecasted FS'!I106,'Historical &amp; Forecasted FS'!H106),0)</f>
        <v>3.523330359950458</v>
      </c>
      <c r="J37" s="62">
        <f>IFERROR('Historical &amp; Forecasted FS'!J8/AVERAGE('Historical &amp; Forecasted FS'!J106,'Historical &amp; Forecasted FS'!I106),0)</f>
        <v>5.6967974522888136</v>
      </c>
      <c r="K37" s="62">
        <f>IFERROR('Historical &amp; Forecasted FS'!K8/AVERAGE('Historical &amp; Forecasted FS'!K106,'Historical &amp; Forecasted FS'!J106),0)</f>
        <v>6.9325082189131697</v>
      </c>
      <c r="L37" s="62">
        <f>IFERROR('Historical &amp; Forecasted FS'!L8/AVERAGE('Historical &amp; Forecasted FS'!L106,'Historical &amp; Forecasted FS'!K106),0)</f>
        <v>6.7947490648655355</v>
      </c>
      <c r="M37" s="62"/>
      <c r="N37" s="62">
        <f t="shared" si="8"/>
        <v>3.4935394065564616</v>
      </c>
      <c r="O37" s="62">
        <f t="shared" si="9"/>
        <v>2.4176043908367086</v>
      </c>
      <c r="P37" s="62">
        <f t="shared" si="13"/>
        <v>5.1160517655794902</v>
      </c>
      <c r="Q37" s="62">
        <f>'Data Sheet'!G373/'Data Sheet'!G441</f>
        <v>1.4413535955080983</v>
      </c>
    </row>
    <row r="38" spans="2:17" x14ac:dyDescent="0.35">
      <c r="N38" s="4"/>
      <c r="Q38" s="49"/>
    </row>
    <row r="39" spans="2:17" x14ac:dyDescent="0.35">
      <c r="B39" s="56" t="s">
        <v>256</v>
      </c>
      <c r="N39" s="4"/>
      <c r="Q39" s="49"/>
    </row>
    <row r="40" spans="2:17" x14ac:dyDescent="0.35">
      <c r="B40" t="str">
        <f>"Receivable" &amp; " " &amp; "Days"</f>
        <v>Receivable Days</v>
      </c>
      <c r="C40" s="49"/>
      <c r="D40" s="49">
        <f t="shared" ref="D40:G40" si="14">IFERROR(365/D33,0)</f>
        <v>26.790717326658537</v>
      </c>
      <c r="E40" s="49">
        <f t="shared" si="14"/>
        <v>27.592631666813517</v>
      </c>
      <c r="F40" s="49">
        <f t="shared" si="14"/>
        <v>26.772250189762424</v>
      </c>
      <c r="G40" s="49">
        <f t="shared" si="14"/>
        <v>28.21382179634406</v>
      </c>
      <c r="H40" s="49">
        <f t="shared" ref="H40:I42" si="15">IFERROR(365/H33,0)</f>
        <v>32.345430365832094</v>
      </c>
      <c r="I40" s="49">
        <f t="shared" si="15"/>
        <v>25.958126149755024</v>
      </c>
      <c r="J40" s="49">
        <f t="shared" ref="J40:L40" si="16">IFERROR(365/J33,0)</f>
        <v>21.151655062503931</v>
      </c>
      <c r="K40" s="49">
        <f t="shared" si="16"/>
        <v>25.205704388225033</v>
      </c>
      <c r="L40" s="49">
        <f t="shared" si="16"/>
        <v>27.469872288245039</v>
      </c>
      <c r="M40" s="49"/>
      <c r="N40" s="49">
        <f t="shared" si="8"/>
        <v>26.833356581571071</v>
      </c>
      <c r="O40" s="49">
        <f t="shared" si="9"/>
        <v>26.790717326658537</v>
      </c>
      <c r="P40" s="192">
        <f>AVERAGE(H40:L40)</f>
        <v>26.426157650912224</v>
      </c>
      <c r="Q40" s="49">
        <f>'Data Sheet'!G338</f>
        <v>50.406202199999996</v>
      </c>
    </row>
    <row r="41" spans="2:17" x14ac:dyDescent="0.35">
      <c r="B41" t="str">
        <f>"Payable" &amp; " " &amp; "Days"</f>
        <v>Payable Days</v>
      </c>
      <c r="C41" s="49"/>
      <c r="D41" s="49">
        <f t="shared" ref="D41:G41" si="17">IFERROR(365/D34,0)</f>
        <v>85.571993518406146</v>
      </c>
      <c r="E41" s="49">
        <f t="shared" si="17"/>
        <v>101.10735598587262</v>
      </c>
      <c r="F41" s="49">
        <f t="shared" si="17"/>
        <v>105.4982700924508</v>
      </c>
      <c r="G41" s="49">
        <f t="shared" si="17"/>
        <v>111.59117833850362</v>
      </c>
      <c r="H41" s="49">
        <f t="shared" si="15"/>
        <v>115.20212384566886</v>
      </c>
      <c r="I41" s="49">
        <f t="shared" si="15"/>
        <v>95.288896490307209</v>
      </c>
      <c r="J41" s="49">
        <f t="shared" ref="J41:L41" si="18">IFERROR(365/J34,0)</f>
        <v>83.168299050150011</v>
      </c>
      <c r="K41" s="49">
        <f t="shared" si="18"/>
        <v>97.050428099809437</v>
      </c>
      <c r="L41" s="49">
        <f t="shared" si="18"/>
        <v>108.00326426540019</v>
      </c>
      <c r="M41" s="49"/>
      <c r="N41" s="49">
        <f t="shared" si="8"/>
        <v>100.27575663184101</v>
      </c>
      <c r="O41" s="49">
        <f t="shared" si="9"/>
        <v>101.10735598587262</v>
      </c>
      <c r="P41" s="192">
        <f t="shared" ref="P41:P43" si="19">AVERAGE(H41:L41)</f>
        <v>99.742602350267134</v>
      </c>
      <c r="Q41" s="49">
        <f>'Data Sheet'!G340</f>
        <v>71.658703200000019</v>
      </c>
    </row>
    <row r="42" spans="2:17" x14ac:dyDescent="0.35">
      <c r="B42" t="str">
        <f>"Inventory" &amp; " " &amp; "Days"</f>
        <v>Inventory Days</v>
      </c>
      <c r="C42" s="49"/>
      <c r="D42" s="49">
        <f t="shared" ref="D42:G42" si="20">IFERROR(365/D35,0)</f>
        <v>5.8102349220852458</v>
      </c>
      <c r="E42" s="49">
        <f t="shared" si="20"/>
        <v>6.2247480513944708</v>
      </c>
      <c r="F42" s="49">
        <f t="shared" si="20"/>
        <v>9.0403798706823206</v>
      </c>
      <c r="G42" s="49">
        <f t="shared" si="20"/>
        <v>9.8195333300764549</v>
      </c>
      <c r="H42" s="49">
        <f t="shared" si="15"/>
        <v>9.0944295409872549</v>
      </c>
      <c r="I42" s="49">
        <f t="shared" si="15"/>
        <v>8.7903178244740765</v>
      </c>
      <c r="J42" s="49">
        <f t="shared" ref="J42:L42" si="21">IFERROR(365/J35,0)</f>
        <v>9.1181020842234748</v>
      </c>
      <c r="K42" s="49">
        <f t="shared" si="21"/>
        <v>9.4096740715557416</v>
      </c>
      <c r="L42" s="49">
        <f t="shared" si="21"/>
        <v>9.6109149749926441</v>
      </c>
      <c r="M42" s="49"/>
      <c r="N42" s="49">
        <f t="shared" si="8"/>
        <v>8.5464816300524085</v>
      </c>
      <c r="O42" s="49">
        <f t="shared" si="9"/>
        <v>9.0944295409872549</v>
      </c>
      <c r="P42" s="192">
        <f t="shared" si="19"/>
        <v>9.2046876992466373</v>
      </c>
      <c r="Q42" s="49">
        <f>'Data Sheet'!G339</f>
        <v>42.198780399999997</v>
      </c>
    </row>
    <row r="43" spans="2:17" x14ac:dyDescent="0.35">
      <c r="B43" t="str">
        <f>"Cash Conversion Cycle"</f>
        <v>Cash Conversion Cycle</v>
      </c>
      <c r="C43" s="49"/>
      <c r="D43" s="49">
        <f t="shared" ref="D43:G43" si="22">IFERROR(SUM(D40,D42)-D41,0)</f>
        <v>-52.971041269662365</v>
      </c>
      <c r="E43" s="49">
        <f t="shared" si="22"/>
        <v>-67.289976267664628</v>
      </c>
      <c r="F43" s="49">
        <f t="shared" si="22"/>
        <v>-69.685640032006049</v>
      </c>
      <c r="G43" s="49">
        <f t="shared" si="22"/>
        <v>-73.557823212083107</v>
      </c>
      <c r="H43" s="49">
        <f>IFERROR(SUM(H40,H42)-H41,0)</f>
        <v>-73.762263938849514</v>
      </c>
      <c r="I43" s="49">
        <f>IFERROR(SUM(I40,I42)-I41,0)</f>
        <v>-60.540452516078105</v>
      </c>
      <c r="J43" s="49">
        <f t="shared" ref="J43:L43" si="23">IFERROR(SUM(J40,J42)-J41,0)</f>
        <v>-52.898541903422604</v>
      </c>
      <c r="K43" s="49">
        <f t="shared" si="23"/>
        <v>-62.435049640028666</v>
      </c>
      <c r="L43" s="49">
        <f t="shared" si="23"/>
        <v>-70.922477002162509</v>
      </c>
      <c r="M43" s="49"/>
      <c r="N43" s="49">
        <f t="shared" si="8"/>
        <v>-64.895918420217498</v>
      </c>
      <c r="O43" s="49">
        <f t="shared" si="9"/>
        <v>-67.289976267664628</v>
      </c>
      <c r="P43" s="49">
        <f t="shared" si="19"/>
        <v>-64.111757000108284</v>
      </c>
      <c r="Q43" s="49">
        <f>'Data Sheet'!G341</f>
        <v>20.946279799999999</v>
      </c>
    </row>
    <row r="44" spans="2:17" x14ac:dyDescent="0.35">
      <c r="N44" s="4"/>
    </row>
    <row r="45" spans="2:17" x14ac:dyDescent="0.35">
      <c r="B45" t="s">
        <v>255</v>
      </c>
      <c r="N45" s="4"/>
    </row>
    <row r="46" spans="2:17" x14ac:dyDescent="0.35">
      <c r="B46" t="s">
        <v>252</v>
      </c>
      <c r="C46" s="4">
        <f>IFERROR('Historical &amp; Forecasted FS'!C126/'Historical &amp; Forecasted FS'!C8,0)</f>
        <v>0.32666648431302825</v>
      </c>
      <c r="D46" s="4">
        <f>IFERROR('Historical &amp; Forecasted FS'!D126/'Historical &amp; Forecasted FS'!D8,0)</f>
        <v>0.34771409622831229</v>
      </c>
      <c r="E46" s="4">
        <f>IFERROR('Historical &amp; Forecasted FS'!E126/'Historical &amp; Forecasted FS'!E8,0)</f>
        <v>0.30713831913522138</v>
      </c>
      <c r="F46" s="4">
        <f>IFERROR('Historical &amp; Forecasted FS'!F126/'Historical &amp; Forecasted FS'!F8,0)</f>
        <v>0.28017222576057654</v>
      </c>
      <c r="G46" s="4">
        <f>IFERROR('Historical &amp; Forecasted FS'!G126/'Historical &amp; Forecasted FS'!G8,0)</f>
        <v>0.29154916319960844</v>
      </c>
      <c r="H46" s="4">
        <f>IFERROR('Historical &amp; Forecasted FS'!H126/'Historical &amp; Forecasted FS'!H8,0)</f>
        <v>0.2667099710193947</v>
      </c>
      <c r="I46" s="4">
        <f>IFERROR('Historical &amp; Forecasted FS'!I126/'Historical &amp; Forecasted FS'!I8,0)</f>
        <v>0.29387829444656938</v>
      </c>
      <c r="J46" s="4">
        <f>IFERROR('Historical &amp; Forecasted FS'!J126/'Historical &amp; Forecasted FS'!J8,0)</f>
        <v>0.28439903011615097</v>
      </c>
      <c r="K46" s="4">
        <f>IFERROR('Historical &amp; Forecasted FS'!K126/'Historical &amp; Forecasted FS'!K8,0)</f>
        <v>0.30977003915522106</v>
      </c>
      <c r="L46" s="4">
        <f>IFERROR('Historical &amp; Forecasted FS'!L126/'Historical &amp; Forecasted FS'!L8,0)</f>
        <v>0.28840940814276583</v>
      </c>
      <c r="M46" s="4"/>
      <c r="N46" s="4">
        <f t="shared" si="8"/>
        <v>0.2996407031516849</v>
      </c>
      <c r="O46" s="4">
        <f t="shared" si="9"/>
        <v>0.29271372882308888</v>
      </c>
      <c r="P46" s="3">
        <f t="shared" ref="P46:P48" si="24">AVERAGE(H46:L46)</f>
        <v>0.28863334857602041</v>
      </c>
      <c r="Q46" s="3">
        <f>'Data Sheet'!G461/'Data Sheet'!G373</f>
        <v>0.28668328745820792</v>
      </c>
    </row>
    <row r="47" spans="2:17" x14ac:dyDescent="0.35">
      <c r="B47" t="s">
        <v>253</v>
      </c>
      <c r="C47" s="4">
        <f>IFERROR('Historical &amp; Forecasted FS'!C126/'Historical &amp; Forecasted FS'!C82,0)</f>
        <v>0.25756236008609423</v>
      </c>
      <c r="D47" s="4">
        <f>IFERROR('Historical &amp; Forecasted FS'!D126/'Historical &amp; Forecasted FS'!D82,0)</f>
        <v>0.27989460813859374</v>
      </c>
      <c r="E47" s="4">
        <f>IFERROR('Historical &amp; Forecasted FS'!E126/'Historical &amp; Forecasted FS'!E82,0)</f>
        <v>0.20588710730339524</v>
      </c>
      <c r="F47" s="4">
        <f>IFERROR('Historical &amp; Forecasted FS'!F126/'Historical &amp; Forecasted FS'!F82,0)</f>
        <v>0.17112109965123001</v>
      </c>
      <c r="G47" s="4">
        <f>IFERROR('Historical &amp; Forecasted FS'!G126/'Historical &amp; Forecasted FS'!G82,0)</f>
        <v>0.21172739079909769</v>
      </c>
      <c r="H47" s="4">
        <f>IFERROR('Historical &amp; Forecasted FS'!H126/'Historical &amp; Forecasted FS'!H82,0)</f>
        <v>0.20498587954483688</v>
      </c>
      <c r="I47" s="4">
        <f>IFERROR('Historical &amp; Forecasted FS'!I126/'Historical &amp; Forecasted FS'!I82,0)</f>
        <v>0.24907992886429878</v>
      </c>
      <c r="J47" s="4">
        <f>IFERROR('Historical &amp; Forecasted FS'!J126/'Historical &amp; Forecasted FS'!J82,0)</f>
        <v>0.2964028694993191</v>
      </c>
      <c r="K47" s="4">
        <f>IFERROR('Historical &amp; Forecasted FS'!K126/'Historical &amp; Forecasted FS'!K82,0)</f>
        <v>0.34627716120253432</v>
      </c>
      <c r="L47" s="4">
        <f>IFERROR('Historical &amp; Forecasted FS'!L126/'Historical &amp; Forecasted FS'!L82,0)</f>
        <v>0.31352334060348913</v>
      </c>
      <c r="M47" s="4"/>
      <c r="N47" s="4">
        <f t="shared" si="8"/>
        <v>0.2536461745692889</v>
      </c>
      <c r="O47" s="4">
        <f t="shared" si="9"/>
        <v>0.25332114447519649</v>
      </c>
      <c r="P47" s="3">
        <f t="shared" si="24"/>
        <v>0.28205383594289568</v>
      </c>
      <c r="Q47" s="3">
        <f>'Data Sheet'!G461/'Data Sheet'!G425</f>
        <v>0.16086544516485252</v>
      </c>
    </row>
    <row r="48" spans="2:17" x14ac:dyDescent="0.35">
      <c r="B48" t="s">
        <v>254</v>
      </c>
      <c r="C48" s="4">
        <f>IFERROR('Historical &amp; Forecasted FS'!C126/'Historical &amp; Forecasted FS'!C97,0)</f>
        <v>1.050471465765956</v>
      </c>
      <c r="D48" s="4">
        <f>IFERROR('Historical &amp; Forecasted FS'!D126/'Historical &amp; Forecasted FS'!D97,0)</f>
        <v>0.89915910599690196</v>
      </c>
      <c r="E48" s="4">
        <f>IFERROR('Historical &amp; Forecasted FS'!E126/'Historical &amp; Forecasted FS'!E97,0)</f>
        <v>0.57878546897256866</v>
      </c>
      <c r="F48" s="4">
        <f>IFERROR('Historical &amp; Forecasted FS'!F126/'Historical &amp; Forecasted FS'!F97,0)</f>
        <v>0.45725412578849195</v>
      </c>
      <c r="G48" s="4">
        <f>IFERROR('Historical &amp; Forecasted FS'!G126/'Historical &amp; Forecasted FS'!G97,0)</f>
        <v>0.54282890170979115</v>
      </c>
      <c r="H48" s="4">
        <f>IFERROR('Historical &amp; Forecasted FS'!H126/'Historical &amp; Forecasted FS'!H97,0)</f>
        <v>0.48760452533202164</v>
      </c>
      <c r="I48" s="4">
        <f>IFERROR('Historical &amp; Forecasted FS'!I126/'Historical &amp; Forecasted FS'!I97,0)</f>
        <v>0.52674053422305211</v>
      </c>
      <c r="J48" s="4">
        <f>IFERROR('Historical &amp; Forecasted FS'!J126/'Historical &amp; Forecasted FS'!J97,0)</f>
        <v>0.64050581477673596</v>
      </c>
      <c r="K48" s="4">
        <f>IFERROR('Historical &amp; Forecasted FS'!K126/'Historical &amp; Forecasted FS'!K97,0)</f>
        <v>0.8247817367877327</v>
      </c>
      <c r="L48" s="4">
        <f>IFERROR('Historical &amp; Forecasted FS'!L126/'Historical &amp; Forecasted FS'!L97,0)</f>
        <v>0.76168787768123536</v>
      </c>
      <c r="M48" s="4"/>
      <c r="N48" s="4">
        <f t="shared" si="8"/>
        <v>0.67698195570344866</v>
      </c>
      <c r="O48" s="4">
        <f t="shared" si="9"/>
        <v>0.60964564187465231</v>
      </c>
      <c r="P48" s="3">
        <f t="shared" si="24"/>
        <v>0.64826409776015559</v>
      </c>
      <c r="Q48" s="3">
        <f>'Data Sheet'!G461/'Data Sheet'!G446</f>
        <v>0.57208328451888935</v>
      </c>
    </row>
  </sheetData>
  <sheetProtection password="CC0B" sheet="1" objects="1" scenarios="1" selectLockedCells="0" selectUnlockedCells="1"/>
  <mergeCells count="2">
    <mergeCell ref="B6:M6"/>
    <mergeCell ref="N6:O6"/>
  </mergeCells>
  <conditionalFormatting sqref="A1:XFD5 A6:B6 N6 Q6 R6:XFD7 A7:Q7 A8:O8 Q8:XFD37 A9:G12 I9:K12 M9:O12 A13:O37 A38:XFD42 A43:B43 Q43:XFD43 A44:XFD1048576">
    <cfRule type="cellIs" dxfId="3" priority="2" operator="lessThan">
      <formula>0</formula>
    </cfRule>
  </conditionalFormatting>
  <conditionalFormatting sqref="H18">
    <cfRule type="cellIs" dxfId="2" priority="3" operator="lessThan">
      <formula>0</formula>
    </cfRule>
  </conditionalFormatting>
  <conditionalFormatting sqref="J13">
    <cfRule type="cellIs" dxfId="1" priority="4" operator="lessThan">
      <formula>0</formula>
    </cfRule>
  </conditionalFormatting>
  <conditionalFormatting sqref="P29">
    <cfRule type="cellIs" dxfId="0" priority="1" operator="lessThan">
      <formula>0</formula>
    </cfRule>
  </conditionalFormatting>
  <pageMargins left="0.25" right="0.25" top="0.75" bottom="0.75" header="0.3" footer="0.3"/>
  <pageSetup paperSize="9" scale="85" orientation="portrait" horizontalDpi="4294967293" verticalDpi="0" r:id="rId1"/>
  <drawing r:id="rId2"/>
  <extLst>
    <ext xmlns:x14="http://schemas.microsoft.com/office/spreadsheetml/2009/9/main" uri="{05C60535-1F16-4fd2-B633-F4F36F0B64E0}">
      <x14:sparklineGroups xmlns:xm="http://schemas.microsoft.com/office/excel/2006/main">
        <x14:sparklineGroup displayEmptyCellsAs="gap" high="1" low="1" xr2:uid="{8A70122D-CFA6-4E41-933F-96FC142089D4}">
          <x14:colorSeries rgb="FF376092"/>
          <x14:colorNegative rgb="FFD00000"/>
          <x14:colorAxis rgb="FF000000"/>
          <x14:colorMarkers rgb="FFD00000"/>
          <x14:colorFirst rgb="FFD00000"/>
          <x14:colorLast rgb="FFD00000"/>
          <x14:colorHigh rgb="FFD00000"/>
          <x14:colorLow rgb="FFD00000"/>
          <x14:sparklines>
            <x14:sparkline>
              <xm:f>'Ratio Analysis'!C46:L46</xm:f>
              <xm:sqref>M46</xm:sqref>
            </x14:sparkline>
            <x14:sparkline>
              <xm:f>'Ratio Analysis'!C47:L47</xm:f>
              <xm:sqref>M47</xm:sqref>
            </x14:sparkline>
            <x14:sparkline>
              <xm:f>'Ratio Analysis'!C48:L48</xm:f>
              <xm:sqref>M48</xm:sqref>
            </x14:sparkline>
          </x14:sparklines>
        </x14:sparklineGroup>
        <x14:sparklineGroup displayEmptyCellsAs="gap" high="1" low="1" xr2:uid="{29EC0DF4-A922-46C2-808D-49003D73EB55}">
          <x14:colorSeries rgb="FF376092"/>
          <x14:colorNegative rgb="FFD00000"/>
          <x14:colorAxis rgb="FF000000"/>
          <x14:colorMarkers rgb="FFD00000"/>
          <x14:colorFirst rgb="FFD00000"/>
          <x14:colorLast rgb="FFD00000"/>
          <x14:colorHigh rgb="FFD00000"/>
          <x14:colorLow rgb="FFD00000"/>
          <x14:sparklines>
            <x14:sparkline>
              <xm:f>'Ratio Analysis'!C40:L40</xm:f>
              <xm:sqref>M40</xm:sqref>
            </x14:sparkline>
            <x14:sparkline>
              <xm:f>'Ratio Analysis'!C41:L41</xm:f>
              <xm:sqref>M41</xm:sqref>
            </x14:sparkline>
            <x14:sparkline>
              <xm:f>'Ratio Analysis'!C42:L42</xm:f>
              <xm:sqref>M42</xm:sqref>
            </x14:sparkline>
            <x14:sparkline>
              <xm:f>'Ratio Analysis'!C43:L43</xm:f>
              <xm:sqref>M43</xm:sqref>
            </x14:sparkline>
          </x14:sparklines>
        </x14:sparklineGroup>
        <x14:sparklineGroup displayEmptyCellsAs="gap" high="1" low="1" xr2:uid="{68762C15-CCB9-4ED5-9829-BDF77233885E}">
          <x14:colorSeries rgb="FF376092"/>
          <x14:colorNegative rgb="FFD00000"/>
          <x14:colorAxis rgb="FF000000"/>
          <x14:colorMarkers rgb="FFD00000"/>
          <x14:colorFirst rgb="FFD00000"/>
          <x14:colorLast rgb="FFD00000"/>
          <x14:colorHigh rgb="FFD00000"/>
          <x14:colorLow rgb="FFD00000"/>
          <x14:sparklines>
            <x14:sparkline>
              <xm:f>'Ratio Analysis'!C33:L33</xm:f>
              <xm:sqref>M33</xm:sqref>
            </x14:sparkline>
            <x14:sparkline>
              <xm:f>'Ratio Analysis'!C34:L34</xm:f>
              <xm:sqref>M34</xm:sqref>
            </x14:sparkline>
            <x14:sparkline>
              <xm:f>'Ratio Analysis'!C35:L35</xm:f>
              <xm:sqref>M35</xm:sqref>
            </x14:sparkline>
            <x14:sparkline>
              <xm:f>'Ratio Analysis'!C36:L36</xm:f>
              <xm:sqref>M36</xm:sqref>
            </x14:sparkline>
            <x14:sparkline>
              <xm:f>'Ratio Analysis'!C37:L37</xm:f>
              <xm:sqref>M37</xm:sqref>
            </x14:sparkline>
          </x14:sparklines>
        </x14:sparklineGroup>
        <x14:sparklineGroup displayEmptyCellsAs="gap" high="1" low="1" xr2:uid="{1737135A-4883-402A-8A69-145396A2BA25}">
          <x14:colorSeries rgb="FF376092"/>
          <x14:colorNegative rgb="FFD00000"/>
          <x14:colorAxis rgb="FF000000"/>
          <x14:colorMarkers rgb="FFD00000"/>
          <x14:colorFirst rgb="FFD00000"/>
          <x14:colorLast rgb="FFD00000"/>
          <x14:colorHigh rgb="FFD00000"/>
          <x14:colorLow rgb="FFD00000"/>
          <x14:sparklines>
            <x14:sparkline>
              <xm:f>'Ratio Analysis'!C25:L25</xm:f>
              <xm:sqref>M25</xm:sqref>
            </x14:sparkline>
            <x14:sparkline>
              <xm:f>'Ratio Analysis'!C26:L26</xm:f>
              <xm:sqref>M26</xm:sqref>
            </x14:sparkline>
            <x14:sparkline>
              <xm:f>'Ratio Analysis'!C27:L27</xm:f>
              <xm:sqref>M27</xm:sqref>
            </x14:sparkline>
            <x14:sparkline>
              <xm:f>'Ratio Analysis'!C28:L28</xm:f>
              <xm:sqref>M28</xm:sqref>
            </x14:sparkline>
            <x14:sparkline>
              <xm:f>'Ratio Analysis'!C29:L29</xm:f>
              <xm:sqref>M29</xm:sqref>
            </x14:sparkline>
            <x14:sparkline>
              <xm:f>'Ratio Analysis'!C30:L30</xm:f>
              <xm:sqref>M30</xm:sqref>
            </x14:sparkline>
          </x14:sparklines>
        </x14:sparklineGroup>
        <x14:sparklineGroup displayEmptyCellsAs="gap" high="1" low="1" xr2:uid="{348D7864-3F76-4D68-B7B4-15E891C2DF88}">
          <x14:colorSeries rgb="FF376092"/>
          <x14:colorNegative rgb="FFD00000"/>
          <x14:colorAxis rgb="FF000000"/>
          <x14:colorMarkers rgb="FFD00000"/>
          <x14:colorFirst rgb="FFD00000"/>
          <x14:colorLast rgb="FFD00000"/>
          <x14:colorHigh rgb="FFD00000"/>
          <x14:colorLow rgb="FFD00000"/>
          <x14:sparklines>
            <x14:sparkline>
              <xm:f>'Ratio Analysis'!C21:L21</xm:f>
              <xm:sqref>M21</xm:sqref>
            </x14:sparkline>
            <x14:sparkline>
              <xm:f>'Ratio Analysis'!C22:L22</xm:f>
              <xm:sqref>M22</xm:sqref>
            </x14:sparkline>
          </x14:sparklines>
        </x14:sparklineGroup>
        <x14:sparklineGroup displayEmptyCellsAs="gap" high="1" low="1" xr2:uid="{CFDF268A-77D1-4155-883B-0DA973A13AA1}">
          <x14:colorSeries rgb="FF376092"/>
          <x14:colorNegative rgb="FFD00000"/>
          <x14:colorAxis rgb="FF000000"/>
          <x14:colorMarkers rgb="FFD00000"/>
          <x14:colorFirst rgb="FFD00000"/>
          <x14:colorLast rgb="FFD00000"/>
          <x14:colorHigh rgb="FFD00000"/>
          <x14:colorLow rgb="FFD00000"/>
          <x14:sparklines>
            <x14:sparkline>
              <xm:f>'Ratio Analysis'!C15:L15</xm:f>
              <xm:sqref>M15</xm:sqref>
            </x14:sparkline>
            <x14:sparkline>
              <xm:f>'Ratio Analysis'!C16:L16</xm:f>
              <xm:sqref>M16</xm:sqref>
            </x14:sparkline>
            <x14:sparkline>
              <xm:f>'Ratio Analysis'!C17:L17</xm:f>
              <xm:sqref>M17</xm:sqref>
            </x14:sparkline>
            <x14:sparkline>
              <xm:f>'Ratio Analysis'!C18:L18</xm:f>
              <xm:sqref>M18</xm:sqref>
            </x14:sparkline>
            <x14:sparkline>
              <xm:f>'Ratio Analysis'!C19:L19</xm:f>
              <xm:sqref>M19</xm:sqref>
            </x14:sparkline>
          </x14:sparklines>
        </x14:sparklineGroup>
        <x14:sparklineGroup displayEmptyCellsAs="gap" high="1" low="1" xr2:uid="{9595CA28-B1FB-4AEA-96F0-C714FF7465BF}">
          <x14:colorSeries theme="4" tint="-0.499984740745262"/>
          <x14:colorNegative theme="5"/>
          <x14:colorAxis rgb="FF000000"/>
          <x14:colorMarkers theme="4" tint="-0.499984740745262"/>
          <x14:colorFirst theme="4" tint="0.39997558519241921"/>
          <x14:colorLast theme="4" tint="0.39997558519241921"/>
          <x14:colorHigh rgb="FFFF0000"/>
          <x14:colorLow rgb="FFFF0000"/>
          <x14:sparklines>
            <x14:sparkline>
              <xm:f>'Ratio Analysis'!D9:L9</xm:f>
              <xm:sqref>M9</xm:sqref>
            </x14:sparkline>
            <x14:sparkline>
              <xm:f>'Ratio Analysis'!D10:L10</xm:f>
              <xm:sqref>M10</xm:sqref>
            </x14:sparkline>
            <x14:sparkline>
              <xm:f>'Ratio Analysis'!D11:L11</xm:f>
              <xm:sqref>M11</xm:sqref>
            </x14:sparkline>
            <x14:sparkline>
              <xm:f>'Ratio Analysis'!D12:L12</xm:f>
              <xm:sqref>M12</xm:sqref>
            </x14:sparkline>
            <x14:sparkline>
              <xm:f>'Ratio Analysis'!D13:L13</xm:f>
              <xm:sqref>M13</xm:sqref>
            </x14:sparkline>
          </x14:sparklines>
        </x14:sparklineGroup>
      </x14:sparklineGroup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F3EB96-0B09-4B4D-85AC-D3B33E8F2E8F}">
  <dimension ref="B6:L57"/>
  <sheetViews>
    <sheetView showGridLines="0" topLeftCell="A33" workbookViewId="0">
      <selection activeCell="R16" sqref="R16"/>
    </sheetView>
  </sheetViews>
  <sheetFormatPr defaultRowHeight="14.5" x14ac:dyDescent="0.35"/>
  <cols>
    <col min="1" max="1" width="1.81640625" customWidth="1"/>
    <col min="2" max="2" width="30.08984375" bestFit="1" customWidth="1"/>
  </cols>
  <sheetData>
    <row r="6" spans="2:12" x14ac:dyDescent="0.35">
      <c r="B6" s="231" t="str">
        <f>"Common Size Income Statement -"&amp; " " &amp;'Data Sheet'!$A$4</f>
        <v>Common Size Income Statement - Apple Inc.</v>
      </c>
      <c r="C6" s="231"/>
      <c r="D6" s="231"/>
      <c r="E6" s="231"/>
      <c r="F6" s="231"/>
      <c r="G6" s="231"/>
      <c r="H6" s="231"/>
      <c r="I6" s="231"/>
      <c r="J6" s="231"/>
      <c r="K6" s="231"/>
      <c r="L6" s="231"/>
    </row>
    <row r="8" spans="2:12" x14ac:dyDescent="0.35">
      <c r="B8" s="81" t="s">
        <v>341</v>
      </c>
      <c r="C8" s="81">
        <f>'Historical &amp; Forecasted FS'!C6</f>
        <v>2014</v>
      </c>
      <c r="D8" s="81">
        <f>'Historical &amp; Forecasted FS'!D6</f>
        <v>2015</v>
      </c>
      <c r="E8" s="81">
        <f>'Historical &amp; Forecasted FS'!E6</f>
        <v>2016</v>
      </c>
      <c r="F8" s="81">
        <f>'Historical &amp; Forecasted FS'!F6</f>
        <v>2017</v>
      </c>
      <c r="G8" s="81">
        <f>'Historical &amp; Forecasted FS'!G6</f>
        <v>2018</v>
      </c>
      <c r="H8" s="81">
        <f>'Historical &amp; Forecasted FS'!H6</f>
        <v>2019</v>
      </c>
      <c r="I8" s="81">
        <f>'Historical &amp; Forecasted FS'!I6</f>
        <v>2020</v>
      </c>
      <c r="J8" s="81">
        <f>'Historical &amp; Forecasted FS'!J6</f>
        <v>2021</v>
      </c>
      <c r="K8" s="81">
        <f>'Historical &amp; Forecasted FS'!K6</f>
        <v>2022</v>
      </c>
      <c r="L8" s="81">
        <f>'Historical &amp; Forecasted FS'!L6</f>
        <v>2023</v>
      </c>
    </row>
    <row r="9" spans="2:12" x14ac:dyDescent="0.35">
      <c r="B9" t="str">
        <f>'Historical &amp; Forecasted FS'!B8</f>
        <v>Sales</v>
      </c>
      <c r="C9" s="3">
        <f>'Historical &amp; Forecasted FS'!C8/'Historical &amp; Forecasted FS'!C$8</f>
        <v>1</v>
      </c>
      <c r="D9" s="3">
        <f>'Historical &amp; Forecasted FS'!D8/'Historical &amp; Forecasted FS'!D$8</f>
        <v>1</v>
      </c>
      <c r="E9" s="3">
        <f>'Historical &amp; Forecasted FS'!E8/'Historical &amp; Forecasted FS'!E$8</f>
        <v>1</v>
      </c>
      <c r="F9" s="3">
        <f>'Historical &amp; Forecasted FS'!F8/'Historical &amp; Forecasted FS'!F$8</f>
        <v>1</v>
      </c>
      <c r="G9" s="3">
        <f>'Historical &amp; Forecasted FS'!G8/'Historical &amp; Forecasted FS'!G$8</f>
        <v>1</v>
      </c>
      <c r="H9" s="3">
        <f>'Historical &amp; Forecasted FS'!H8/'Historical &amp; Forecasted FS'!H$8</f>
        <v>1</v>
      </c>
      <c r="I9" s="3">
        <f>'Historical &amp; Forecasted FS'!I8/'Historical &amp; Forecasted FS'!I$8</f>
        <v>1</v>
      </c>
      <c r="J9" s="3">
        <f>'Historical &amp; Forecasted FS'!J8/'Historical &amp; Forecasted FS'!J$8</f>
        <v>1</v>
      </c>
      <c r="K9" s="3">
        <f>'Historical &amp; Forecasted FS'!K8/'Historical &amp; Forecasted FS'!K$8</f>
        <v>1</v>
      </c>
      <c r="L9" s="3">
        <f>'Historical &amp; Forecasted FS'!L8/'Historical &amp; Forecasted FS'!L$8</f>
        <v>1</v>
      </c>
    </row>
    <row r="10" spans="2:12" x14ac:dyDescent="0.35">
      <c r="B10" t="str">
        <f>'Historical &amp; Forecasted FS'!B11</f>
        <v>COGS</v>
      </c>
      <c r="C10" s="3">
        <f>'Historical &amp; Forecasted FS'!C11/'Historical &amp; Forecasted FS'!C$8</f>
        <v>0.61411964222216142</v>
      </c>
      <c r="D10" s="3">
        <f>'Historical &amp; Forecasted FS'!D11/'Historical &amp; Forecasted FS'!D$8</f>
        <v>0.59940097982585627</v>
      </c>
      <c r="E10" s="3">
        <f>'Historical &amp; Forecasted FS'!E11/'Historical &amp; Forecasted FS'!E$8</f>
        <v>0.60924044351902951</v>
      </c>
      <c r="F10" s="3">
        <f>'Historical &amp; Forecasted FS'!F11/'Historical &amp; Forecasted FS'!F$8</f>
        <v>0.6153013950810089</v>
      </c>
      <c r="G10" s="3">
        <f>'Historical &amp; Forecasted FS'!G11/'Historical &amp; Forecasted FS'!G$8</f>
        <v>0.6165628117999209</v>
      </c>
      <c r="H10" s="3">
        <f>'Historical &amp; Forecasted FS'!H11/'Historical &amp; Forecasted FS'!H$8</f>
        <v>0.62182231890965278</v>
      </c>
      <c r="I10" s="3">
        <f>'Historical &amp; Forecasted FS'!I11/'Historical &amp; Forecasted FS'!I$8</f>
        <v>0.61766752272189129</v>
      </c>
      <c r="J10" s="3">
        <f>'Historical &amp; Forecasted FS'!J11/'Historical &amp; Forecasted FS'!J$8</f>
        <v>0.58220640374832222</v>
      </c>
      <c r="K10" s="3">
        <f>'Historical &amp; Forecasted FS'!K11/'Historical &amp; Forecasted FS'!K$8</f>
        <v>0.56690369438639909</v>
      </c>
      <c r="L10" s="3">
        <f>'Historical &amp; Forecasted FS'!L11/'Historical &amp; Forecasted FS'!L$8</f>
        <v>0.55868870422792438</v>
      </c>
    </row>
    <row r="11" spans="2:12" x14ac:dyDescent="0.35">
      <c r="B11" t="str">
        <f>'Historical &amp; Forecasted FS'!B14</f>
        <v>Gross Profit</v>
      </c>
      <c r="C11" s="3">
        <f>'Historical &amp; Forecasted FS'!C14/'Historical &amp; Forecasted FS'!C$8</f>
        <v>0.38588035777783858</v>
      </c>
      <c r="D11" s="3">
        <f>'Historical &amp; Forecasted FS'!D14/'Historical &amp; Forecasted FS'!D$8</f>
        <v>0.40059902017414373</v>
      </c>
      <c r="E11" s="3">
        <f>'Historical &amp; Forecasted FS'!E14/'Historical &amp; Forecasted FS'!E$8</f>
        <v>0.39075955648097049</v>
      </c>
      <c r="F11" s="3">
        <f>'Historical &amp; Forecasted FS'!F14/'Historical &amp; Forecasted FS'!F$8</f>
        <v>0.38469860491899105</v>
      </c>
      <c r="G11" s="3">
        <f>'Historical &amp; Forecasted FS'!G14/'Historical &amp; Forecasted FS'!G$8</f>
        <v>0.38343718820007905</v>
      </c>
      <c r="H11" s="3">
        <f>'Historical &amp; Forecasted FS'!H14/'Historical &amp; Forecasted FS'!H$8</f>
        <v>0.37817768109034722</v>
      </c>
      <c r="I11" s="3">
        <f>'Historical &amp; Forecasted FS'!I14/'Historical &amp; Forecasted FS'!I$8</f>
        <v>0.38233247727810865</v>
      </c>
      <c r="J11" s="3">
        <f>'Historical &amp; Forecasted FS'!J14/'Historical &amp; Forecasted FS'!J$8</f>
        <v>0.41779359625167778</v>
      </c>
      <c r="K11" s="3">
        <f>'Historical &amp; Forecasted FS'!K14/'Historical &amp; Forecasted FS'!K$8</f>
        <v>0.43309630561360085</v>
      </c>
      <c r="L11" s="3">
        <f>'Historical &amp; Forecasted FS'!L14/'Historical &amp; Forecasted FS'!L$8</f>
        <v>0.44131129577207562</v>
      </c>
    </row>
    <row r="12" spans="2:12" x14ac:dyDescent="0.35">
      <c r="B12" t="str">
        <f>'Historical &amp; Forecasted FS'!B17</f>
        <v>SG&amp;A Expenses</v>
      </c>
      <c r="C12" s="3">
        <f>'Historical &amp; Forecasted FS'!C17/'Historical &amp; Forecasted FS'!C$8</f>
        <v>6.5609015563883044E-2</v>
      </c>
      <c r="D12" s="3">
        <f>'Historical &amp; Forecasted FS'!D17/'Historical &amp; Forecasted FS'!D$8</f>
        <v>6.1309714823609952E-2</v>
      </c>
      <c r="E12" s="3">
        <f>'Historical &amp; Forecasted FS'!E17/'Historical &amp; Forecasted FS'!E$8</f>
        <v>6.5822972653369755E-2</v>
      </c>
      <c r="F12" s="3">
        <f>'Historical &amp; Forecasted FS'!F17/'Historical &amp; Forecasted FS'!F$8</f>
        <v>6.6573893924984945E-2</v>
      </c>
      <c r="G12" s="3">
        <f>'Historical &amp; Forecasted FS'!G17/'Historical &amp; Forecasted FS'!G$8</f>
        <v>6.2896515371147807E-2</v>
      </c>
      <c r="H12" s="3">
        <f>'Historical &amp; Forecasted FS'!H17/'Historical &amp; Forecasted FS'!H$8</f>
        <v>7.0126146348213125E-2</v>
      </c>
      <c r="I12" s="3">
        <f>'Historical &amp; Forecasted FS'!I17/'Historical &amp; Forecasted FS'!I$8</f>
        <v>7.2549769593646979E-2</v>
      </c>
      <c r="J12" s="3">
        <f>'Historical &amp; Forecasted FS'!J17/'Historical &amp; Forecasted FS'!J$8</f>
        <v>6.006555190163388E-2</v>
      </c>
      <c r="K12" s="3">
        <f>'Historical &amp; Forecasted FS'!K17/'Historical &amp; Forecasted FS'!K$8</f>
        <v>6.3637378020328261E-2</v>
      </c>
      <c r="L12" s="3">
        <f>'Historical &amp; Forecasted FS'!L17/'Historical &amp; Forecasted FS'!L$8</f>
        <v>6.5048201729783317E-2</v>
      </c>
    </row>
    <row r="13" spans="2:12" x14ac:dyDescent="0.35">
      <c r="B13" t="str">
        <f>'Historical &amp; Forecasted FS'!B20</f>
        <v>R&amp;D Expenses</v>
      </c>
      <c r="C13" s="3">
        <f>'Historical &amp; Forecasted FS'!C20/'Historical &amp; Forecasted FS'!C$8</f>
        <v>3.3047949889220163E-2</v>
      </c>
      <c r="D13" s="3">
        <f>'Historical &amp; Forecasted FS'!D20/'Historical &amp; Forecasted FS'!D$8</f>
        <v>3.4516398177267184E-2</v>
      </c>
      <c r="E13" s="3">
        <f>'Historical &amp; Forecasted FS'!E20/'Historical &amp; Forecasted FS'!E$8</f>
        <v>4.6582482760539605E-2</v>
      </c>
      <c r="F13" s="3">
        <f>'Historical &amp; Forecasted FS'!F20/'Historical &amp; Forecasted FS'!F$8</f>
        <v>5.0520428906706681E-2</v>
      </c>
      <c r="G13" s="3">
        <f>'Historical &amp; Forecasted FS'!G20/'Historical &amp; Forecasted FS'!G$8</f>
        <v>5.3600406634161032E-2</v>
      </c>
      <c r="H13" s="3">
        <f>'Historical &amp; Forecasted FS'!H20/'Historical &amp; Forecasted FS'!H$8</f>
        <v>6.233136285716482E-2</v>
      </c>
      <c r="I13" s="3">
        <f>'Historical &amp; Forecasted FS'!I20/'Historical &amp; Forecasted FS'!I$8</f>
        <v>6.8309564140393061E-2</v>
      </c>
      <c r="J13" s="3">
        <f>'Historical &amp; Forecasted FS'!J20/'Historical &amp; Forecasted FS'!J$8</f>
        <v>5.9904269074427925E-2</v>
      </c>
      <c r="K13" s="3">
        <f>'Historical &amp; Forecasted FS'!K20/'Historical &amp; Forecasted FS'!K$8</f>
        <v>6.657148363798665E-2</v>
      </c>
      <c r="L13" s="3">
        <f>'Historical &amp; Forecasted FS'!L20/'Historical &amp; Forecasted FS'!L$8</f>
        <v>7.8048971392045086E-2</v>
      </c>
    </row>
    <row r="14" spans="2:12" x14ac:dyDescent="0.35">
      <c r="B14" t="str">
        <f>'Historical &amp; Forecasted FS'!B23</f>
        <v>EBIT</v>
      </c>
      <c r="C14" s="3">
        <f>'Historical &amp; Forecasted FS'!C23/'Historical &amp; Forecasted FS'!C$8</f>
        <v>0.28722339232473537</v>
      </c>
      <c r="D14" s="3">
        <f>'Historical &amp; Forecasted FS'!D23/'Historical &amp; Forecasted FS'!D$8</f>
        <v>0.30477290717326661</v>
      </c>
      <c r="E14" s="3">
        <f>'Historical &amp; Forecasted FS'!E23/'Historical &amp; Forecasted FS'!E$8</f>
        <v>0.27835410106706115</v>
      </c>
      <c r="F14" s="3">
        <f>'Historical &amp; Forecasted FS'!F23/'Historical &amp; Forecasted FS'!F$8</f>
        <v>0.26760428208729942</v>
      </c>
      <c r="G14" s="3">
        <f>'Historical &amp; Forecasted FS'!G23/'Historical &amp; Forecasted FS'!G$8</f>
        <v>0.26694026619477024</v>
      </c>
      <c r="H14" s="3">
        <f>'Historical &amp; Forecasted FS'!H23/'Historical &amp; Forecasted FS'!H$8</f>
        <v>0.24572017188496928</v>
      </c>
      <c r="I14" s="3">
        <f>'Historical &amp; Forecasted FS'!I23/'Historical &amp; Forecasted FS'!I$8</f>
        <v>0.24147314354406862</v>
      </c>
      <c r="J14" s="3">
        <f>'Historical &amp; Forecasted FS'!J23/'Historical &amp; Forecasted FS'!J$8</f>
        <v>0.29782377527561593</v>
      </c>
      <c r="K14" s="3">
        <f>'Historical &amp; Forecasted FS'!K23/'Historical &amp; Forecasted FS'!K$8</f>
        <v>0.30288744395528594</v>
      </c>
      <c r="L14" s="3">
        <f>'Historical &amp; Forecasted FS'!L23/'Historical &amp; Forecasted FS'!L$8</f>
        <v>0.29821412265024722</v>
      </c>
    </row>
    <row r="15" spans="2:12" x14ac:dyDescent="0.35">
      <c r="B15" t="str">
        <f>'Historical &amp; Forecasted FS'!B26</f>
        <v>Dep &amp; Amm</v>
      </c>
      <c r="C15" s="3">
        <f>'Historical &amp; Forecasted FS'!C26/'Historical &amp; Forecasted FS'!C$8</f>
        <v>3.7451790256845099E-2</v>
      </c>
      <c r="D15" s="3">
        <f>'Historical &amp; Forecasted FS'!D26/'Historical &amp; Forecasted FS'!D$8</f>
        <v>4.2603170528207432E-2</v>
      </c>
      <c r="E15" s="3">
        <f>'Historical &amp; Forecasted FS'!E26/'Historical &amp; Forecasted FS'!E$8</f>
        <v>4.8715677590788306E-2</v>
      </c>
      <c r="F15" s="3">
        <f>'Historical &amp; Forecasted FS'!F26/'Historical &amp; Forecasted FS'!F$8</f>
        <v>4.4308435921372923E-2</v>
      </c>
      <c r="G15" s="3">
        <f>'Historical &amp; Forecasted FS'!G26/'Historical &amp; Forecasted FS'!G$8</f>
        <v>4.1051224608897006E-2</v>
      </c>
      <c r="H15" s="3">
        <f>'Historical &amp; Forecasted FS'!H26/'Historical &amp; Forecasted FS'!H$8</f>
        <v>4.8225418373857493E-2</v>
      </c>
      <c r="I15" s="3">
        <f>'Historical &amp; Forecasted FS'!I26/'Historical &amp; Forecasted FS'!I$8</f>
        <v>4.0274666229532081E-2</v>
      </c>
      <c r="J15" s="3">
        <f>'Historical &amp; Forecasted FS'!J26/'Historical &amp; Forecasted FS'!J$8</f>
        <v>3.084602410494865E-2</v>
      </c>
      <c r="K15" s="3">
        <f>'Historical &amp; Forecasted FS'!K26/'Historical &amp; Forecasted FS'!K$8</f>
        <v>2.8159298857803657E-2</v>
      </c>
      <c r="L15" s="3">
        <f>'Historical &amp; Forecasted FS'!L26/'Historical &amp; Forecasted FS'!L$8</f>
        <v>3.0053354553400212E-2</v>
      </c>
    </row>
    <row r="16" spans="2:12" x14ac:dyDescent="0.35">
      <c r="B16" t="str">
        <f>'Historical &amp; Forecasted FS'!B29</f>
        <v>EBITDA</v>
      </c>
      <c r="C16" s="3">
        <f>'Historical &amp; Forecasted FS'!C29/'Historical &amp; Forecasted FS'!C$8</f>
        <v>0.32467518258158046</v>
      </c>
      <c r="D16" s="3">
        <f>'Historical &amp; Forecasted FS'!D29/'Historical &amp; Forecasted FS'!D$8</f>
        <v>0.347376077701474</v>
      </c>
      <c r="E16" s="3">
        <f>'Historical &amp; Forecasted FS'!E29/'Historical &amp; Forecasted FS'!E$8</f>
        <v>0.32706977865784947</v>
      </c>
      <c r="F16" s="3">
        <f>'Historical &amp; Forecasted FS'!F29/'Historical &amp; Forecasted FS'!F$8</f>
        <v>0.31191271800867237</v>
      </c>
      <c r="G16" s="3">
        <f>'Historical &amp; Forecasted FS'!G29/'Historical &amp; Forecasted FS'!G$8</f>
        <v>0.30799149080366722</v>
      </c>
      <c r="H16" s="3">
        <f>'Historical &amp; Forecasted FS'!H29/'Historical &amp; Forecasted FS'!H$8</f>
        <v>0.29394559025882677</v>
      </c>
      <c r="I16" s="3">
        <f>'Historical &amp; Forecasted FS'!I29/'Historical &amp; Forecasted FS'!I$8</f>
        <v>0.2817478097736007</v>
      </c>
      <c r="J16" s="3">
        <f>'Historical &amp; Forecasted FS'!J29/'Historical &amp; Forecasted FS'!J$8</f>
        <v>0.32866979938056462</v>
      </c>
      <c r="K16" s="3">
        <f>'Historical &amp; Forecasted FS'!K29/'Historical &amp; Forecasted FS'!K$8</f>
        <v>0.3310467428130896</v>
      </c>
      <c r="L16" s="3">
        <f>'Historical &amp; Forecasted FS'!L29/'Historical &amp; Forecasted FS'!L$8</f>
        <v>0.32826747720364741</v>
      </c>
    </row>
    <row r="17" spans="2:12" x14ac:dyDescent="0.35">
      <c r="B17" t="str">
        <f>'Historical &amp; Forecasted FS'!B32</f>
        <v>Other operating expenses</v>
      </c>
      <c r="C17" s="3">
        <f>'Historical &amp; Forecasted FS'!C32/'Historical &amp; Forecasted FS'!C$8</f>
        <v>-2.357832544653847E-3</v>
      </c>
      <c r="D17" s="3">
        <f>'Historical &amp; Forecasted FS'!D32/'Historical &amp; Forecasted FS'!D$8</f>
        <v>-3.8636801232270071E-3</v>
      </c>
      <c r="E17" s="3">
        <f>'Historical &amp; Forecasted FS'!E32/'Historical &amp; Forecasted FS'!E$8</f>
        <v>-5.5416691785808688E-3</v>
      </c>
      <c r="F17" s="3">
        <f>'Historical &amp; Forecasted FS'!F32/'Historical &amp; Forecasted FS'!F$8</f>
        <v>-5.8019316506277433E-4</v>
      </c>
      <c r="G17" s="3">
        <f>'Historical &amp; Forecasted FS'!G32/'Historical &amp; Forecasted FS'!G$8</f>
        <v>-1.6604228242248537E-3</v>
      </c>
      <c r="H17" s="3">
        <f>'Historical &amp; Forecasted FS'!H32/'Historical &amp; Forecasted FS'!H$8</f>
        <v>1.6219914365001884E-3</v>
      </c>
      <c r="I17" s="3">
        <f>'Historical &amp; Forecasted FS'!I32/'Historical &amp; Forecasted FS'!I$8</f>
        <v>-3.1692257253701983E-4</v>
      </c>
      <c r="J17" s="3">
        <f>'Historical &amp; Forecasted FS'!J32/'Historical &amp; Forecasted FS'!J$8</f>
        <v>1.6401643444673156E-4</v>
      </c>
      <c r="K17" s="3">
        <f>'Historical &amp; Forecasted FS'!K32/'Historical &amp; Forecasted FS'!K$8</f>
        <v>-5.7819885983242372E-4</v>
      </c>
      <c r="L17" s="3">
        <f>'Historical &amp; Forecasted FS'!L32/'Historical &amp; Forecasted FS'!L$8</f>
        <v>-9.9664740336825072E-4</v>
      </c>
    </row>
    <row r="18" spans="2:12" x14ac:dyDescent="0.35">
      <c r="B18" t="str">
        <f>'Historical &amp; Forecasted FS'!B35</f>
        <v>Net Interest Expense</v>
      </c>
      <c r="C18" s="3">
        <f>'Historical &amp; Forecasted FS'!C35/'Historical &amp; Forecasted FS'!C$8</f>
        <v>7.7190295139363766E-3</v>
      </c>
      <c r="D18" s="3">
        <f>'Historical &amp; Forecasted FS'!D35/'Historical &amp; Forecasted FS'!D$8</f>
        <v>9.3618295787604566E-3</v>
      </c>
      <c r="E18" s="3">
        <f>'Historical &amp; Forecasted FS'!E35/'Historical &amp; Forecasted FS'!E$8</f>
        <v>1.1792857507222719E-2</v>
      </c>
      <c r="F18" s="3">
        <f>'Historical &amp; Forecasted FS'!F35/'Historical &amp; Forecasted FS'!F$8</f>
        <v>1.2554856609403491E-2</v>
      </c>
      <c r="G18" s="3">
        <f>'Historical &amp; Forecasted FS'!G35/'Historical &amp; Forecasted FS'!G$8</f>
        <v>9.2095107212108659E-3</v>
      </c>
      <c r="H18" s="3">
        <f>'Historical &amp; Forecasted FS'!H35/'Historical &amp; Forecasted FS'!H$8</f>
        <v>5.3233605202672061E-3</v>
      </c>
      <c r="I18" s="3">
        <f>'Historical &amp; Forecasted FS'!I35/'Historical &amp; Forecasted FS'!I$8</f>
        <v>3.242081489171812E-3</v>
      </c>
      <c r="J18" s="3">
        <f>'Historical &amp; Forecasted FS'!J35/'Historical &amp; Forecasted FS'!J$8</f>
        <v>5.4125423367421411E-4</v>
      </c>
      <c r="K18" s="3">
        <f>'Historical &amp; Forecasted FS'!K35/'Historical &amp; Forecasted FS'!K$8</f>
        <v>-2.6881175062384616E-4</v>
      </c>
      <c r="L18" s="3">
        <f>'Historical &amp; Forecasted FS'!L35/'Historical &amp; Forecasted FS'!L$8</f>
        <v>-4.7745150475494736E-4</v>
      </c>
    </row>
    <row r="19" spans="2:12" x14ac:dyDescent="0.35">
      <c r="B19" t="str">
        <f>'Historical &amp; Forecasted FS'!B38</f>
        <v>Dep &amp; Amm</v>
      </c>
      <c r="C19" s="3">
        <f>'Historical &amp; Forecasted FS'!C38/'Historical &amp; Forecasted FS'!C$8</f>
        <v>3.7451790256845099E-2</v>
      </c>
      <c r="D19" s="3">
        <f>'Historical &amp; Forecasted FS'!D38/'Historical &amp; Forecasted FS'!D$8</f>
        <v>4.2603170528207432E-2</v>
      </c>
      <c r="E19" s="3">
        <f>'Historical &amp; Forecasted FS'!E38/'Historical &amp; Forecasted FS'!E$8</f>
        <v>4.8715677590788306E-2</v>
      </c>
      <c r="F19" s="3">
        <f>'Historical &amp; Forecasted FS'!F38/'Historical &amp; Forecasted FS'!F$8</f>
        <v>4.4308435921372923E-2</v>
      </c>
      <c r="G19" s="3">
        <f>'Historical &amp; Forecasted FS'!G38/'Historical &amp; Forecasted FS'!G$8</f>
        <v>4.1051224608897006E-2</v>
      </c>
      <c r="H19" s="3">
        <f>'Historical &amp; Forecasted FS'!H38/'Historical &amp; Forecasted FS'!H$8</f>
        <v>4.8225418373857493E-2</v>
      </c>
      <c r="I19" s="3">
        <f>'Historical &amp; Forecasted FS'!I38/'Historical &amp; Forecasted FS'!I$8</f>
        <v>4.0274666229532081E-2</v>
      </c>
      <c r="J19" s="3">
        <f>'Historical &amp; Forecasted FS'!J38/'Historical &amp; Forecasted FS'!J$8</f>
        <v>3.084602410494865E-2</v>
      </c>
      <c r="K19" s="3">
        <f>'Historical &amp; Forecasted FS'!K38/'Historical &amp; Forecasted FS'!K$8</f>
        <v>2.8159298857803657E-2</v>
      </c>
      <c r="L19" s="3">
        <f>'Historical &amp; Forecasted FS'!L38/'Historical &amp; Forecasted FS'!L$8</f>
        <v>3.0053354553400212E-2</v>
      </c>
    </row>
    <row r="20" spans="2:12" x14ac:dyDescent="0.35">
      <c r="B20" t="str">
        <f>'Historical &amp; Forecasted FS'!B41</f>
        <v>EBT</v>
      </c>
      <c r="C20" s="3">
        <f>'Historical &amp; Forecasted FS'!C41/'Historical &amp; Forecasted FS'!C$8</f>
        <v>0.29258458929401787</v>
      </c>
      <c r="D20" s="3">
        <f>'Historical &amp; Forecasted FS'!D41/'Historical &amp; Forecasted FS'!D$8</f>
        <v>0.31027105662880006</v>
      </c>
      <c r="E20" s="3">
        <f>'Historical &amp; Forecasted FS'!E41/'Historical &amp; Forecasted FS'!E$8</f>
        <v>0.28460528939570301</v>
      </c>
      <c r="F20" s="3">
        <f>'Historical &amp; Forecasted FS'!F41/'Historical &amp; Forecasted FS'!F$8</f>
        <v>0.27957894553164014</v>
      </c>
      <c r="G20" s="3">
        <f>'Historical &amp; Forecasted FS'!G41/'Historical &amp; Forecasted FS'!G$8</f>
        <v>0.27448935409175623</v>
      </c>
      <c r="H20" s="3">
        <f>'Historical &amp; Forecasted FS'!H41/'Historical &amp; Forecasted FS'!H$8</f>
        <v>0.25266552384173668</v>
      </c>
      <c r="I20" s="3">
        <f>'Historical &amp; Forecasted FS'!I41/'Historical &amp; Forecasted FS'!I$8</f>
        <v>0.24439830246070343</v>
      </c>
      <c r="J20" s="3">
        <f>'Historical &amp; Forecasted FS'!J41/'Historical &amp; Forecasted FS'!J$8</f>
        <v>0.29852904594373691</v>
      </c>
      <c r="K20" s="3">
        <f>'Historical &amp; Forecasted FS'!K41/'Historical &amp; Forecasted FS'!K$8</f>
        <v>0.30204043334482966</v>
      </c>
      <c r="L20" s="3">
        <f>'Historical &amp; Forecasted FS'!L41/'Historical &amp; Forecasted FS'!L$8</f>
        <v>0.29674002374212399</v>
      </c>
    </row>
    <row r="21" spans="2:12" x14ac:dyDescent="0.35">
      <c r="B21" t="str">
        <f>'Historical &amp; Forecasted FS'!B44</f>
        <v>Tax</v>
      </c>
      <c r="C21" s="3">
        <f>'Historical &amp; Forecasted FS'!C44/'Historical &amp; Forecasted FS'!C$8</f>
        <v>7.6440821685494681E-2</v>
      </c>
      <c r="D21" s="3">
        <f>'Historical &amp; Forecasted FS'!D44/'Historical &amp; Forecasted FS'!D$8</f>
        <v>8.1813319641443644E-2</v>
      </c>
      <c r="E21" s="3">
        <f>'Historical &amp; Forecasted FS'!E44/'Historical &amp; Forecasted FS'!E$8</f>
        <v>7.2737306331415008E-2</v>
      </c>
      <c r="F21" s="3">
        <f>'Historical &amp; Forecasted FS'!F44/'Historical &amp; Forecasted FS'!F$8</f>
        <v>6.8654737080886777E-2</v>
      </c>
      <c r="G21" s="3">
        <f>'Historical &amp; Forecasted FS'!G44/'Historical &amp; Forecasted FS'!G$8</f>
        <v>5.0347333345883767E-2</v>
      </c>
      <c r="H21" s="3">
        <f>'Historical &amp; Forecasted FS'!H44/'Historical &amp; Forecasted FS'!H$8</f>
        <v>4.0284578781892115E-2</v>
      </c>
      <c r="I21" s="3">
        <f>'Historical &amp; Forecasted FS'!I44/'Historical &amp; Forecasted FS'!I$8</f>
        <v>3.5262189679981057E-2</v>
      </c>
      <c r="J21" s="3">
        <f>'Historical &amp; Forecasted FS'!J44/'Historical &amp; Forecasted FS'!J$8</f>
        <v>3.9711112386794492E-2</v>
      </c>
      <c r="K21" s="3">
        <f>'Historical &amp; Forecasted FS'!K44/'Historical &amp; Forecasted FS'!K$8</f>
        <v>4.8944026292832364E-2</v>
      </c>
      <c r="L21" s="3">
        <f>'Historical &amp; Forecasted FS'!L44/'Historical &amp; Forecasted FS'!L$8</f>
        <v>4.3677681098921166E-2</v>
      </c>
    </row>
    <row r="22" spans="2:12" x14ac:dyDescent="0.35">
      <c r="B22" t="str">
        <f>'Historical &amp; Forecasted FS'!B47</f>
        <v>Net profit</v>
      </c>
      <c r="C22" s="3">
        <f>'Historical &amp; Forecasted FS'!C47/'Historical &amp; Forecasted FS'!C$8</f>
        <v>0.21614376760852322</v>
      </c>
      <c r="D22" s="3">
        <f>'Historical &amp; Forecasted FS'!D47/'Historical &amp; Forecasted FS'!D$8</f>
        <v>0.22845773698735639</v>
      </c>
      <c r="E22" s="3">
        <f>'Historical &amp; Forecasted FS'!E47/'Historical &amp; Forecasted FS'!E$8</f>
        <v>0.211867983064288</v>
      </c>
      <c r="F22" s="3">
        <f>'Historical &amp; Forecasted FS'!F47/'Historical &amp; Forecasted FS'!F$8</f>
        <v>0.21092420845075338</v>
      </c>
      <c r="G22" s="3">
        <f>'Historical &amp; Forecasted FS'!G47/'Historical &amp; Forecasted FS'!G$8</f>
        <v>0.22414202074587247</v>
      </c>
      <c r="H22" s="3">
        <f>'Historical &amp; Forecasted FS'!H47/'Historical &amp; Forecasted FS'!H$8</f>
        <v>0.21238094505984456</v>
      </c>
      <c r="I22" s="3">
        <f>'Historical &amp; Forecasted FS'!I47/'Historical &amp; Forecasted FS'!I$8</f>
        <v>0.20913611278072236</v>
      </c>
      <c r="J22" s="3">
        <f>'Historical &amp; Forecasted FS'!J47/'Historical &amp; Forecasted FS'!J$8</f>
        <v>0.25881793355694238</v>
      </c>
      <c r="K22" s="3">
        <f>'Historical &amp; Forecasted FS'!K47/'Historical &amp; Forecasted FS'!K$8</f>
        <v>0.25309640705199732</v>
      </c>
      <c r="L22" s="3">
        <f>'Historical &amp; Forecasted FS'!L47/'Historical &amp; Forecasted FS'!L$8</f>
        <v>0.25306234264320282</v>
      </c>
    </row>
    <row r="24" spans="2:12" x14ac:dyDescent="0.35">
      <c r="B24" s="231" t="str">
        <f>"Common Size Balance Sheet -"&amp; " " &amp;'Data Sheet'!$A$4</f>
        <v>Common Size Balance Sheet - Apple Inc.</v>
      </c>
      <c r="C24" s="231"/>
      <c r="D24" s="231"/>
      <c r="E24" s="231"/>
      <c r="F24" s="231"/>
      <c r="G24" s="231"/>
      <c r="H24" s="231"/>
      <c r="I24" s="231"/>
      <c r="J24" s="231"/>
      <c r="K24" s="231"/>
      <c r="L24" s="231"/>
    </row>
    <row r="26" spans="2:12" x14ac:dyDescent="0.35">
      <c r="B26" s="81" t="s">
        <v>341</v>
      </c>
      <c r="C26" s="81">
        <f>C8</f>
        <v>2014</v>
      </c>
      <c r="D26" s="81">
        <f t="shared" ref="D26:L26" si="0">D8</f>
        <v>2015</v>
      </c>
      <c r="E26" s="81">
        <f t="shared" si="0"/>
        <v>2016</v>
      </c>
      <c r="F26" s="81">
        <f t="shared" si="0"/>
        <v>2017</v>
      </c>
      <c r="G26" s="81">
        <f t="shared" si="0"/>
        <v>2018</v>
      </c>
      <c r="H26" s="81">
        <f t="shared" si="0"/>
        <v>2019</v>
      </c>
      <c r="I26" s="81">
        <f t="shared" si="0"/>
        <v>2020</v>
      </c>
      <c r="J26" s="81">
        <f t="shared" si="0"/>
        <v>2021</v>
      </c>
      <c r="K26" s="81">
        <f t="shared" si="0"/>
        <v>2022</v>
      </c>
      <c r="L26" s="81">
        <f t="shared" si="0"/>
        <v>2023</v>
      </c>
    </row>
    <row r="27" spans="2:12" x14ac:dyDescent="0.35">
      <c r="B27" t="str">
        <f>'Historical &amp; Forecasted FS'!B64</f>
        <v>Cash And Equivalents</v>
      </c>
      <c r="C27" s="3">
        <f>'Historical &amp; Forecasted FS'!C64/'Historical &amp; Forecasted FS'!C$82</f>
        <v>5.9713853148089836E-2</v>
      </c>
      <c r="D27" s="3">
        <f>'Historical &amp; Forecasted FS'!D64/'Historical &amp; Forecasted FS'!D$82</f>
        <v>7.2741049441182037E-2</v>
      </c>
      <c r="E27" s="3">
        <f>'Historical &amp; Forecasted FS'!E64/'Historical &amp; Forecasted FS'!E$82</f>
        <v>6.3677001796783192E-2</v>
      </c>
      <c r="F27" s="3">
        <f>'Historical &amp; Forecasted FS'!F64/'Historical &amp; Forecasted FS'!F$82</f>
        <v>5.4058014648872027E-2</v>
      </c>
      <c r="G27" s="3">
        <f>'Historical &amp; Forecasted FS'!G64/'Historical &amp; Forecasted FS'!G$82</f>
        <v>7.085378358055916E-2</v>
      </c>
      <c r="H27" s="3">
        <f>'Historical &amp; Forecasted FS'!H64/'Historical &amp; Forecasted FS'!H$82</f>
        <v>0.14836521759680488</v>
      </c>
      <c r="I27" s="3">
        <f>'Historical &amp; Forecasted FS'!I64/'Historical &amp; Forecasted FS'!I$82</f>
        <v>0.12284802153830954</v>
      </c>
      <c r="J27" s="3">
        <f>'Historical &amp; Forecasted FS'!J64/'Historical &amp; Forecasted FS'!J$82</f>
        <v>0.10236124010689397</v>
      </c>
      <c r="K27" s="3">
        <f>'Historical &amp; Forecasted FS'!K64/'Historical &amp; Forecasted FS'!K$82</f>
        <v>7.0805516576660857E-2</v>
      </c>
      <c r="L27" s="3">
        <f>'Historical &amp; Forecasted FS'!L64/'Historical &amp; Forecasted FS'!L$82</f>
        <v>8.7176636423196813E-2</v>
      </c>
    </row>
    <row r="28" spans="2:12" x14ac:dyDescent="0.35">
      <c r="B28" t="str">
        <f>'Historical &amp; Forecasted FS'!B65</f>
        <v>Short Term Investments</v>
      </c>
      <c r="C28" s="3">
        <f>'Historical &amp; Forecasted FS'!C65/'Historical &amp; Forecasted FS'!C$82</f>
        <v>4.8451727276256365E-2</v>
      </c>
      <c r="D28" s="3">
        <f>'Historical &amp; Forecasted FS'!D65/'Historical &amp; Forecasted FS'!D$82</f>
        <v>7.0540219394169004E-2</v>
      </c>
      <c r="E28" s="3">
        <f>'Historical &amp; Forecasted FS'!E65/'Historical &amp; Forecasted FS'!E$82</f>
        <v>0.14508247172708791</v>
      </c>
      <c r="F28" s="3">
        <f>'Historical &amp; Forecasted FS'!F65/'Historical &amp; Forecasted FS'!F$82</f>
        <v>0.14358985289846771</v>
      </c>
      <c r="G28" s="3">
        <f>'Historical &amp; Forecasted FS'!G65/'Historical &amp; Forecasted FS'!G$82</f>
        <v>0.1104327021669287</v>
      </c>
      <c r="H28" s="3">
        <f>'Historical &amp; Forecasted FS'!H65/'Historical &amp; Forecasted FS'!H$82</f>
        <v>0.15276382800222146</v>
      </c>
      <c r="I28" s="3">
        <f>'Historical &amp; Forecasted FS'!I65/'Historical &amp; Forecasted FS'!I$82</f>
        <v>0.16341142617201007</v>
      </c>
      <c r="J28" s="3">
        <f>'Historical &amp; Forecasted FS'!J65/'Historical &amp; Forecasted FS'!J$82</f>
        <v>7.8914080261650935E-2</v>
      </c>
      <c r="K28" s="3">
        <f>'Historical &amp; Forecasted FS'!K65/'Historical &amp; Forecasted FS'!K$82</f>
        <v>6.9901206219614181E-2</v>
      </c>
      <c r="L28" s="3">
        <f>'Historical &amp; Forecasted FS'!L65/'Historical &amp; Forecasted FS'!L$82</f>
        <v>8.9595924931150969E-2</v>
      </c>
    </row>
    <row r="29" spans="2:12" x14ac:dyDescent="0.35">
      <c r="B29" t="str">
        <f>'Historical &amp; Forecasted FS'!B67</f>
        <v>Accounts Receivable</v>
      </c>
      <c r="C29" s="3">
        <f>'Historical &amp; Forecasted FS'!C67/'Historical &amp; Forecasted FS'!C$82</f>
        <v>7.5310883846117352E-2</v>
      </c>
      <c r="D29" s="3">
        <f>'Historical &amp; Forecasted FS'!D67/'Historical &amp; Forecasted FS'!D$82</f>
        <v>5.8030963164511187E-2</v>
      </c>
      <c r="E29" s="3">
        <f>'Historical &amp; Forecasted FS'!E67/'Historical &amp; Forecasted FS'!E$82</f>
        <v>4.8973222334823402E-2</v>
      </c>
      <c r="F29" s="3">
        <f>'Historical &amp; Forecasted FS'!F67/'Historical &amp; Forecasted FS'!F$82</f>
        <v>4.7623488285964737E-2</v>
      </c>
      <c r="G29" s="3">
        <f>'Historical &amp; Forecasted FS'!G67/'Historical &amp; Forecasted FS'!G$82</f>
        <v>6.339736140542758E-2</v>
      </c>
      <c r="H29" s="3">
        <f>'Historical &amp; Forecasted FS'!H67/'Historical &amp; Forecasted FS'!H$82</f>
        <v>6.7725011520873457E-2</v>
      </c>
      <c r="I29" s="3">
        <f>'Historical &amp; Forecasted FS'!I67/'Historical &amp; Forecasted FS'!I$82</f>
        <v>4.9770290964777947E-2</v>
      </c>
      <c r="J29" s="3">
        <f>'Historical &amp; Forecasted FS'!J67/'Historical &amp; Forecasted FS'!J$82</f>
        <v>7.4865670281081015E-2</v>
      </c>
      <c r="K29" s="3">
        <f>'Historical &amp; Forecasted FS'!K67/'Historical &amp; Forecasted FS'!K$82</f>
        <v>7.9896812235120698E-2</v>
      </c>
      <c r="L29" s="3">
        <f>'Historical &amp; Forecasted FS'!L67/'Historical &amp; Forecasted FS'!L$82</f>
        <v>8.3690932347844332E-2</v>
      </c>
    </row>
    <row r="30" spans="2:12" x14ac:dyDescent="0.35">
      <c r="B30" t="str">
        <f>'Historical &amp; Forecasted FS'!B68</f>
        <v>Other Receivables</v>
      </c>
      <c r="C30" s="3">
        <f>'Historical &amp; Forecasted FS'!C68/'Historical &amp; Forecasted FS'!C$82</f>
        <v>4.2093866864505107E-2</v>
      </c>
      <c r="D30" s="3">
        <f>'Historical &amp; Forecasted FS'!D68/'Historical &amp; Forecasted FS'!D$82</f>
        <v>4.6475744373073412E-2</v>
      </c>
      <c r="E30" s="3">
        <f>'Historical &amp; Forecasted FS'!E68/'Historical &amp; Forecasted FS'!E$82</f>
        <v>4.2106277550157604E-2</v>
      </c>
      <c r="F30" s="3">
        <f>'Historical &amp; Forecasted FS'!F68/'Historical &amp; Forecasted FS'!F$82</f>
        <v>4.7423658274694323E-2</v>
      </c>
      <c r="G30" s="3">
        <f>'Historical &amp; Forecasted FS'!G68/'Historical &amp; Forecasted FS'!G$82</f>
        <v>7.0569416911613919E-2</v>
      </c>
      <c r="H30" s="3">
        <f>'Historical &amp; Forecasted FS'!H68/'Historical &amp; Forecasted FS'!H$82</f>
        <v>6.7583216155218659E-2</v>
      </c>
      <c r="I30" s="3">
        <f>'Historical &amp; Forecasted FS'!I68/'Historical &amp; Forecasted FS'!I$82</f>
        <v>6.5840660969223933E-2</v>
      </c>
      <c r="J30" s="3">
        <f>'Historical &amp; Forecasted FS'!J68/'Historical &amp; Forecasted FS'!J$82</f>
        <v>7.187423433484709E-2</v>
      </c>
      <c r="K30" s="3">
        <f>'Historical &amp; Forecasted FS'!K68/'Historical &amp; Forecasted FS'!K$82</f>
        <v>9.2834970446910747E-2</v>
      </c>
      <c r="L30" s="3">
        <f>'Historical &amp; Forecasted FS'!L68/'Historical &amp; Forecasted FS'!L$82</f>
        <v>8.927543301860838E-2</v>
      </c>
    </row>
    <row r="31" spans="2:12" x14ac:dyDescent="0.35">
      <c r="B31" t="str">
        <f>'Historical &amp; Forecasted FS'!B70</f>
        <v>Inventory</v>
      </c>
      <c r="C31" s="3">
        <f>'Historical &amp; Forecasted FS'!C70/'Historical &amp; Forecasted FS'!C$82</f>
        <v>9.1054568040752418E-3</v>
      </c>
      <c r="D31" s="3">
        <f>'Historical &amp; Forecasted FS'!D70/'Historical &amp; Forecasted FS'!D$82</f>
        <v>8.090375243245105E-3</v>
      </c>
      <c r="E31" s="3">
        <f>'Historical &amp; Forecasted FS'!E70/'Historical &amp; Forecasted FS'!E$82</f>
        <v>6.6275809329594702E-3</v>
      </c>
      <c r="F31" s="3">
        <f>'Historical &amp; Forecasted FS'!F70/'Historical &amp; Forecasted FS'!F$82</f>
        <v>1.2935662729571378E-2</v>
      </c>
      <c r="G31" s="3">
        <f>'Historical &amp; Forecasted FS'!G70/'Historical &amp; Forecasted FS'!G$82</f>
        <v>1.0816870599494155E-2</v>
      </c>
      <c r="H31" s="3">
        <f>'Historical &amp; Forecasted FS'!H70/'Historical &amp; Forecasted FS'!H$82</f>
        <v>1.2129411903720947E-2</v>
      </c>
      <c r="I31" s="3">
        <f>'Historical &amp; Forecasted FS'!I70/'Historical &amp; Forecasted FS'!I$82</f>
        <v>1.2538284839203676E-2</v>
      </c>
      <c r="J31" s="3">
        <f>'Historical &amp; Forecasted FS'!J70/'Historical &amp; Forecasted FS'!J$82</f>
        <v>1.8746331929732594E-2</v>
      </c>
      <c r="K31" s="3">
        <f>'Historical &amp; Forecasted FS'!K70/'Historical &amp; Forecasted FS'!K$82</f>
        <v>1.4021062777281683E-2</v>
      </c>
      <c r="L31" s="3">
        <f>'Historical &amp; Forecasted FS'!L70/'Historical &amp; Forecasted FS'!L$82</f>
        <v>1.7956055737230667E-2</v>
      </c>
    </row>
    <row r="32" spans="2:12" x14ac:dyDescent="0.35">
      <c r="B32" t="str">
        <f>'Historical &amp; Forecasted FS'!B71</f>
        <v>Other Current Assets</v>
      </c>
      <c r="C32" s="3">
        <f>'Historical &amp; Forecasted FS'!C71/'Historical &amp; Forecasted FS'!C$82</f>
        <v>4.194721336789755E-2</v>
      </c>
      <c r="D32" s="3">
        <f>'Historical &amp; Forecasted FS'!D71/'Historical &amp; Forecasted FS'!D$82</f>
        <v>5.0598426010435862E-2</v>
      </c>
      <c r="E32" s="3">
        <f>'Historical &amp; Forecasted FS'!E71/'Historical &amp; Forecasted FS'!E$82</f>
        <v>2.5748711476408673E-2</v>
      </c>
      <c r="F32" s="3">
        <f>'Historical &amp; Forecasted FS'!F71/'Historical &amp; Forecasted FS'!F$82</f>
        <v>3.713108049419294E-2</v>
      </c>
      <c r="G32" s="3">
        <f>'Historical &amp; Forecasted FS'!G71/'Historical &amp; Forecasted FS'!G$82</f>
        <v>3.3049422380203704E-2</v>
      </c>
      <c r="H32" s="3">
        <f>'Historical &amp; Forecasted FS'!H71/'Historical &amp; Forecasted FS'!H$82</f>
        <v>3.6420730482458731E-2</v>
      </c>
      <c r="I32" s="3">
        <f>'Historical &amp; Forecasted FS'!I71/'Historical &amp; Forecasted FS'!I$82</f>
        <v>3.4777453934693475E-2</v>
      </c>
      <c r="J32" s="3">
        <f>'Historical &amp; Forecasted FS'!J71/'Historical &amp; Forecasted FS'!J$82</f>
        <v>4.0202050130768482E-2</v>
      </c>
      <c r="K32" s="3">
        <f>'Historical &amp; Forecasted FS'!K71/'Historical &amp; Forecasted FS'!K$82</f>
        <v>6.0163569616305937E-2</v>
      </c>
      <c r="L32" s="3">
        <f>'Historical &amp; Forecasted FS'!L71/'Historical &amp; Forecasted FS'!L$82</f>
        <v>4.1678129688612328E-2</v>
      </c>
    </row>
    <row r="33" spans="2:12" x14ac:dyDescent="0.35">
      <c r="B33" t="str">
        <f>'Historical &amp; Forecasted FS'!B72</f>
        <v>Total Current Assets</v>
      </c>
      <c r="C33" s="3">
        <f>'Historical &amp; Forecasted FS'!C72/'Historical &amp; Forecasted FS'!C$82</f>
        <v>0.29559737576507833</v>
      </c>
      <c r="D33" s="3">
        <f>'Historical &amp; Forecasted FS'!D72/'Historical &amp; Forecasted FS'!D$82</f>
        <v>0.30783378394668409</v>
      </c>
      <c r="E33" s="3">
        <f>'Historical &amp; Forecasted FS'!E72/'Historical &amp; Forecasted FS'!E$82</f>
        <v>0.33221526581822025</v>
      </c>
      <c r="F33" s="3">
        <f>'Historical &amp; Forecasted FS'!F72/'Historical &amp; Forecasted FS'!F$82</f>
        <v>0.34276175733176312</v>
      </c>
      <c r="G33" s="3">
        <f>'Historical &amp; Forecasted FS'!G72/'Historical &amp; Forecasted FS'!G$82</f>
        <v>0.35911955704422721</v>
      </c>
      <c r="H33" s="3">
        <f>'Historical &amp; Forecasted FS'!H72/'Historical &amp; Forecasted FS'!H$82</f>
        <v>0.48097874251143224</v>
      </c>
      <c r="I33" s="3">
        <f>'Historical &amp; Forecasted FS'!I72/'Historical &amp; Forecasted FS'!I$82</f>
        <v>0.4437120239094996</v>
      </c>
      <c r="J33" s="3">
        <f>'Historical &amp; Forecasted FS'!J72/'Historical &amp; Forecasted FS'!J$82</f>
        <v>0.38414595928228329</v>
      </c>
      <c r="K33" s="3">
        <f>'Historical &amp; Forecasted FS'!K72/'Historical &amp; Forecasted FS'!K$82</f>
        <v>0.38384998086490624</v>
      </c>
      <c r="L33" s="3">
        <f>'Historical &amp; Forecasted FS'!L72/'Historical &amp; Forecasted FS'!L$82</f>
        <v>0.40718355677953844</v>
      </c>
    </row>
    <row r="35" spans="2:12" x14ac:dyDescent="0.35">
      <c r="B35" t="str">
        <f>'Historical &amp; Forecasted FS'!B74</f>
        <v>Gross Property, Plant &amp; Equipment</v>
      </c>
      <c r="C35" s="3">
        <f>'Historical &amp; Forecasted FS'!C74/'Historical &amp; Forecasted FS'!C$82</f>
        <v>0.16828488735717459</v>
      </c>
      <c r="D35" s="3">
        <f>'Historical &amp; Forecasted FS'!D74/'Historical &amp; Forecasted FS'!D$82</f>
        <v>0.16964989925777954</v>
      </c>
      <c r="E35" s="3">
        <f>'Historical &amp; Forecasted FS'!E74/'Historical &amp; Forecasted FS'!E$82</f>
        <v>0.19038752075004819</v>
      </c>
      <c r="F35" s="3">
        <f>'Historical &amp; Forecasted FS'!F74/'Historical &amp; Forecasted FS'!F$82</f>
        <v>0.20003250568183331</v>
      </c>
      <c r="G35" s="3">
        <f>'Historical &amp; Forecasted FS'!G74/'Historical &amp; Forecasted FS'!G$82</f>
        <v>0.24718846127554855</v>
      </c>
      <c r="H35" s="3">
        <f>'Historical &amp; Forecasted FS'!H74/'Historical &amp; Forecasted FS'!H$82</f>
        <v>0.2834637062945326</v>
      </c>
      <c r="I35" s="3">
        <f>'Historical &amp; Forecasted FS'!I74/'Historical &amp; Forecasted FS'!I$82</f>
        <v>0.34609494640122512</v>
      </c>
      <c r="J35" s="3">
        <f>'Historical &amp; Forecasted FS'!J74/'Historical &amp; Forecasted FS'!J$82</f>
        <v>0.34133708639836813</v>
      </c>
      <c r="K35" s="3">
        <f>'Historical &amp; Forecasted FS'!K74/'Historical &amp; Forecasted FS'!K$82</f>
        <v>0.35399639976754405</v>
      </c>
      <c r="L35" s="3">
        <f>'Historical &amp; Forecasted FS'!L74/'Historical &amp; Forecasted FS'!L$82</f>
        <v>0.35526386694764067</v>
      </c>
    </row>
    <row r="36" spans="2:12" x14ac:dyDescent="0.35">
      <c r="B36" t="str">
        <f>'Historical &amp; Forecasted FS'!B75</f>
        <v>Accumulated Depreciation</v>
      </c>
      <c r="C36" s="3">
        <f>'Historical &amp; Forecasted FS'!C75/'Historical &amp; Forecasted FS'!C$82</f>
        <v>-7.9326601650283171E-2</v>
      </c>
      <c r="D36" s="3">
        <f>'Historical &amp; Forecasted FS'!D75/'Historical &amp; Forecasted FS'!D$82</f>
        <v>-9.2255764693726428E-2</v>
      </c>
      <c r="E36" s="3">
        <f>'Historical &amp; Forecasted FS'!E75/'Historical &amp; Forecasted FS'!E$82</f>
        <v>-0.10642365536579149</v>
      </c>
      <c r="F36" s="3">
        <f>'Historical &amp; Forecasted FS'!F75/'Historical &amp; Forecasted FS'!F$82</f>
        <v>-0.11002107540518866</v>
      </c>
      <c r="G36" s="3">
        <f>'Historical &amp; Forecasted FS'!G75/'Historical &amp; Forecasted FS'!G$82</f>
        <v>-0.13425114498598673</v>
      </c>
      <c r="H36" s="3">
        <f>'Historical &amp; Forecasted FS'!H75/'Historical &amp; Forecasted FS'!H$82</f>
        <v>-0.17304647343109336</v>
      </c>
      <c r="I36" s="3">
        <f>'Historical &amp; Forecasted FS'!I75/'Historical &amp; Forecasted FS'!I$82</f>
        <v>-0.20612063429333596</v>
      </c>
      <c r="J36" s="3">
        <f>'Historical &amp; Forecasted FS'!J75/'Historical &amp; Forecasted FS'!J$82</f>
        <v>-0.20023532629443708</v>
      </c>
      <c r="K36" s="3">
        <f>'Historical &amp; Forecasted FS'!K75/'Historical &amp; Forecasted FS'!K$82</f>
        <v>-0.20507150855409562</v>
      </c>
      <c r="L36" s="3">
        <f>'Historical &amp; Forecasted FS'!L75/'Historical &amp; Forecasted FS'!L$82</f>
        <v>-0.20104202414750569</v>
      </c>
    </row>
    <row r="37" spans="2:12" x14ac:dyDescent="0.35">
      <c r="B37" t="str">
        <f>'Historical &amp; Forecasted FS'!B76</f>
        <v>Net Property, Plant &amp; Equipment</v>
      </c>
      <c r="C37" s="3">
        <f>'Historical &amp; Forecasted FS'!C76/'Historical &amp; Forecasted FS'!C$82</f>
        <v>8.8958285706891418E-2</v>
      </c>
      <c r="D37" s="3">
        <f>'Historical &amp; Forecasted FS'!D76/'Historical &amp; Forecasted FS'!D$82</f>
        <v>7.7394134564053113E-2</v>
      </c>
      <c r="E37" s="3">
        <f>'Historical &amp; Forecasted FS'!E76/'Historical &amp; Forecasted FS'!E$82</f>
        <v>8.3963865384256695E-2</v>
      </c>
      <c r="F37" s="3">
        <f>'Historical &amp; Forecasted FS'!F76/'Historical &amp; Forecasted FS'!F$82</f>
        <v>9.0011430276644669E-2</v>
      </c>
      <c r="G37" s="3">
        <f>'Historical &amp; Forecasted FS'!G76/'Historical &amp; Forecasted FS'!G$82</f>
        <v>0.11293731628956183</v>
      </c>
      <c r="H37" s="3">
        <f>'Historical &amp; Forecasted FS'!H76/'Historical &amp; Forecasted FS'!H$82</f>
        <v>0.11041723286343924</v>
      </c>
      <c r="I37" s="3">
        <f>'Historical &amp; Forecasted FS'!I76/'Historical &amp; Forecasted FS'!I$82</f>
        <v>0.13997431210788916</v>
      </c>
      <c r="J37" s="3">
        <f>'Historical &amp; Forecasted FS'!J76/'Historical &amp; Forecasted FS'!J$82</f>
        <v>0.14110176010393102</v>
      </c>
      <c r="K37" s="3">
        <f>'Historical &amp; Forecasted FS'!K76/'Historical &amp; Forecasted FS'!K$82</f>
        <v>0.14892489121344843</v>
      </c>
      <c r="L37" s="3">
        <f>'Historical &amp; Forecasted FS'!L76/'Historical &amp; Forecasted FS'!L$82</f>
        <v>0.15422184280013501</v>
      </c>
    </row>
    <row r="38" spans="2:12" x14ac:dyDescent="0.35">
      <c r="B38" t="str">
        <f>'Historical &amp; Forecasted FS'!B77</f>
        <v>Long-term Investments</v>
      </c>
      <c r="C38" s="3">
        <f>'Historical &amp; Forecasted FS'!C77/'Historical &amp; Forecasted FS'!C$82</f>
        <v>0.56143271839509312</v>
      </c>
      <c r="D38" s="3">
        <f>'Historical &amp; Forecasted FS'!D77/'Historical &amp; Forecasted FS'!D$82</f>
        <v>0.56506914188293234</v>
      </c>
      <c r="E38" s="3">
        <f>'Historical &amp; Forecasted FS'!E77/'Historical &amp; Forecasted FS'!E$82</f>
        <v>0.52980235384816254</v>
      </c>
      <c r="F38" s="3">
        <f>'Historical &amp; Forecasted FS'!F77/'Historical &amp; Forecasted FS'!F$82</f>
        <v>0.51879601086009497</v>
      </c>
      <c r="G38" s="3">
        <f>'Historical &amp; Forecasted FS'!G77/'Historical &amp; Forecasted FS'!G$82</f>
        <v>0.46701483354979834</v>
      </c>
      <c r="H38" s="3">
        <f>'Historical &amp; Forecasted FS'!H77/'Historical &amp; Forecasted FS'!H$82</f>
        <v>0.31118470028004586</v>
      </c>
      <c r="I38" s="3">
        <f>'Historical &amp; Forecasted FS'!I77/'Historical &amp; Forecasted FS'!I$82</f>
        <v>0.31148730425332216</v>
      </c>
      <c r="J38" s="3">
        <f>'Historical &amp; Forecasted FS'!J77/'Historical &amp; Forecasted FS'!J$82</f>
        <v>0.36431986142529105</v>
      </c>
      <c r="K38" s="3">
        <f>'Historical &amp; Forecasted FS'!K77/'Historical &amp; Forecasted FS'!K$82</f>
        <v>0.34246148176496433</v>
      </c>
      <c r="L38" s="3">
        <f>'Historical &amp; Forecasted FS'!L77/'Historical &amp; Forecasted FS'!L$82</f>
        <v>0.285164060660894</v>
      </c>
    </row>
    <row r="39" spans="2:12" x14ac:dyDescent="0.35">
      <c r="B39" t="str">
        <f>'Historical &amp; Forecasted FS'!B80</f>
        <v>Other Long-Term Assets</v>
      </c>
      <c r="C39" s="3">
        <f>'Historical &amp; Forecasted FS'!C80/'Historical &amp; Forecasted FS'!C$82</f>
        <v>1.6235404742083945E-2</v>
      </c>
      <c r="D39" s="3">
        <f>'Historical &amp; Forecasted FS'!D80/'Historical &amp; Forecasted FS'!D$82</f>
        <v>1.8674335704076186E-2</v>
      </c>
      <c r="E39" s="3">
        <f>'Historical &amp; Forecasted FS'!E80/'Historical &amp; Forecasted FS'!E$82</f>
        <v>2.7222198044055384E-2</v>
      </c>
      <c r="F39" s="3">
        <f>'Historical &amp; Forecasted FS'!F80/'Historical &amp; Forecasted FS'!F$82</f>
        <v>4.843080153149721E-2</v>
      </c>
      <c r="G39" s="3">
        <f>'Historical &amp; Forecasted FS'!G80/'Historical &amp; Forecasted FS'!G$82</f>
        <v>6.0928293116412603E-2</v>
      </c>
      <c r="H39" s="3">
        <f>'Historical &amp; Forecasted FS'!H80/'Historical &amp; Forecasted FS'!H$82</f>
        <v>9.7419324345082658E-2</v>
      </c>
      <c r="I39" s="3">
        <f>'Historical &amp; Forecasted FS'!I80/'Historical &amp; Forecasted FS'!I$82</f>
        <v>0.10482635972928914</v>
      </c>
      <c r="J39" s="3">
        <f>'Historical &amp; Forecasted FS'!J80/'Historical &amp; Forecasted FS'!J$82</f>
        <v>0.11043241918849465</v>
      </c>
      <c r="K39" s="3">
        <f>'Historical &amp; Forecasted FS'!K80/'Historical &amp; Forecasted FS'!K$82</f>
        <v>0.12476364615668098</v>
      </c>
      <c r="L39" s="3">
        <f>'Historical &amp; Forecasted FS'!L80/'Historical &amp; Forecasted FS'!L$82</f>
        <v>0.15343053975943252</v>
      </c>
    </row>
    <row r="40" spans="2:12" x14ac:dyDescent="0.35">
      <c r="B40" t="str">
        <f>'Historical &amp; Forecasted FS'!B81</f>
        <v>Total Non-Current Assets</v>
      </c>
      <c r="C40" s="3">
        <f>'Historical &amp; Forecasted FS'!C81/'Historical &amp; Forecasted FS'!C$82</f>
        <v>0.70440262423492161</v>
      </c>
      <c r="D40" s="3">
        <f>'Historical &amp; Forecasted FS'!D81/'Historical &amp; Forecasted FS'!D$82</f>
        <v>0.69216621605331585</v>
      </c>
      <c r="E40" s="3">
        <f>'Historical &amp; Forecasted FS'!E81/'Historical &amp; Forecasted FS'!E$82</f>
        <v>0.66778473418177975</v>
      </c>
      <c r="F40" s="3">
        <f>'Historical &amp; Forecasted FS'!F81/'Historical &amp; Forecasted FS'!F$82</f>
        <v>0.65723824266823694</v>
      </c>
      <c r="G40" s="3">
        <f>'Historical &amp; Forecasted FS'!G81/'Historical &amp; Forecasted FS'!G$82</f>
        <v>0.64088044295577273</v>
      </c>
      <c r="H40" s="3">
        <f>'Historical &amp; Forecasted FS'!H81/'Historical &amp; Forecasted FS'!H$82</f>
        <v>0.51902125748856776</v>
      </c>
      <c r="I40" s="3">
        <f>'Historical &amp; Forecasted FS'!I81/'Historical &amp; Forecasted FS'!I$82</f>
        <v>0.5562879760905004</v>
      </c>
      <c r="J40" s="3">
        <f>'Historical &amp; Forecasted FS'!J81/'Historical &amp; Forecasted FS'!J$82</f>
        <v>0.61585404071771666</v>
      </c>
      <c r="K40" s="3">
        <f>'Historical &amp; Forecasted FS'!K81/'Historical &amp; Forecasted FS'!K$82</f>
        <v>0.61615001913509371</v>
      </c>
      <c r="L40" s="3">
        <f>'Historical &amp; Forecasted FS'!L81/'Historical &amp; Forecasted FS'!L$82</f>
        <v>0.59281644322046156</v>
      </c>
    </row>
    <row r="41" spans="2:12" x14ac:dyDescent="0.35">
      <c r="B41" s="199" t="str">
        <f>'Historical &amp; Forecasted FS'!B82</f>
        <v>Total Assets</v>
      </c>
      <c r="C41" s="212">
        <f>'Historical &amp; Forecasted FS'!C82/'Historical &amp; Forecasted FS'!C$82</f>
        <v>1</v>
      </c>
      <c r="D41" s="212">
        <f>'Historical &amp; Forecasted FS'!D82/'Historical &amp; Forecasted FS'!D$82</f>
        <v>1</v>
      </c>
      <c r="E41" s="212">
        <f>'Historical &amp; Forecasted FS'!E82/'Historical &amp; Forecasted FS'!E$82</f>
        <v>1</v>
      </c>
      <c r="F41" s="212">
        <f>'Historical &amp; Forecasted FS'!F82/'Historical &amp; Forecasted FS'!F$82</f>
        <v>1</v>
      </c>
      <c r="G41" s="212">
        <f>'Historical &amp; Forecasted FS'!G82/'Historical &amp; Forecasted FS'!G$82</f>
        <v>1</v>
      </c>
      <c r="H41" s="212">
        <f>'Historical &amp; Forecasted FS'!H82/'Historical &amp; Forecasted FS'!H$82</f>
        <v>1</v>
      </c>
      <c r="I41" s="212">
        <f>'Historical &amp; Forecasted FS'!I82/'Historical &amp; Forecasted FS'!I$82</f>
        <v>1</v>
      </c>
      <c r="J41" s="212">
        <f>'Historical &amp; Forecasted FS'!J82/'Historical &amp; Forecasted FS'!J$82</f>
        <v>1</v>
      </c>
      <c r="K41" s="212">
        <f>'Historical &amp; Forecasted FS'!K82/'Historical &amp; Forecasted FS'!K$82</f>
        <v>1</v>
      </c>
      <c r="L41" s="212">
        <f>'Historical &amp; Forecasted FS'!L82/'Historical &amp; Forecasted FS'!L$82</f>
        <v>1</v>
      </c>
    </row>
    <row r="42" spans="2:12" x14ac:dyDescent="0.35">
      <c r="C42" s="3"/>
      <c r="D42" s="3"/>
      <c r="E42" s="3"/>
      <c r="F42" s="3"/>
      <c r="G42" s="3"/>
      <c r="H42" s="3"/>
      <c r="I42" s="3"/>
      <c r="J42" s="3"/>
      <c r="K42" s="3"/>
      <c r="L42" s="3"/>
    </row>
    <row r="43" spans="2:12" x14ac:dyDescent="0.35">
      <c r="B43" t="str">
        <f>'Historical &amp; Forecasted FS'!B84</f>
        <v>Accounts Payable</v>
      </c>
      <c r="C43" s="3">
        <f>'Historical &amp; Forecasted FS'!C84/'Historical &amp; Forecasted FS'!C$82</f>
        <v>0.13024555834005494</v>
      </c>
      <c r="D43" s="3">
        <f>'Historical &amp; Forecasted FS'!D84/'Historical &amp; Forecasted FS'!D$82</f>
        <v>0.12223389416039539</v>
      </c>
      <c r="E43" s="3">
        <f>'Historical &amp; Forecasted FS'!E84/'Historical &amp; Forecasted FS'!E$82</f>
        <v>0.11593292838357902</v>
      </c>
      <c r="F43" s="3">
        <f>'Historical &amp; Forecasted FS'!F84/'Historical &amp; Forecasted FS'!F$82</f>
        <v>0.11787839144834128</v>
      </c>
      <c r="G43" s="3">
        <f>'Historical &amp; Forecasted FS'!G84/'Historical &amp; Forecasted FS'!G$82</f>
        <v>0.15281427301934514</v>
      </c>
      <c r="H43" s="3">
        <f>'Historical &amp; Forecasted FS'!H84/'Historical &amp; Forecasted FS'!H$82</f>
        <v>0.1365843859669853</v>
      </c>
      <c r="I43" s="3">
        <f>'Historical &amp; Forecasted FS'!I84/'Historical &amp; Forecasted FS'!I$82</f>
        <v>0.13058835152892359</v>
      </c>
      <c r="J43" s="3">
        <f>'Historical &amp; Forecasted FS'!J84/'Historical &amp; Forecasted FS'!J$82</f>
        <v>0.1560190540224842</v>
      </c>
      <c r="K43" s="3">
        <f>'Historical &amp; Forecasted FS'!K84/'Historical &amp; Forecasted FS'!K$82</f>
        <v>0.18175504245155988</v>
      </c>
      <c r="L43" s="3">
        <f>'Historical &amp; Forecasted FS'!L84/'Historical &amp; Forecasted FS'!L$82</f>
        <v>0.17757804545312736</v>
      </c>
    </row>
    <row r="44" spans="2:12" x14ac:dyDescent="0.35">
      <c r="B44" t="str">
        <f>'Historical &amp; Forecasted FS'!B85</f>
        <v>Short-term Borrowings</v>
      </c>
      <c r="C44" s="3">
        <f>'Historical &amp; Forecasted FS'!C85/'Historical &amp; Forecasted FS'!C$82</f>
        <v>7.9244648225708356E-2</v>
      </c>
      <c r="D44" s="3">
        <f>'Historical &amp; Forecasted FS'!D85/'Historical &amp; Forecasted FS'!D$82</f>
        <v>7.9798171141228544E-2</v>
      </c>
      <c r="E44" s="3">
        <f>'Historical &amp; Forecasted FS'!E85/'Historical &amp; Forecasted FS'!E$82</f>
        <v>6.7966899398792607E-2</v>
      </c>
      <c r="F44" s="3" t="s">
        <v>43</v>
      </c>
      <c r="G44" s="3" t="s">
        <v>43</v>
      </c>
      <c r="H44" s="3">
        <f>'Historical &amp; Forecasted FS'!H85/'Historical &amp; Forecasted FS'!H$82</f>
        <v>1.7665339304493731E-2</v>
      </c>
      <c r="I44" s="3">
        <f>'Historical &amp; Forecasted FS'!I85/'Historical &amp; Forecasted FS'!I$82</f>
        <v>1.5425085214642099E-2</v>
      </c>
      <c r="J44" s="3">
        <f>'Historical &amp; Forecasted FS'!J85/'Historical &amp; Forecasted FS'!J$82</f>
        <v>1.7093919692765282E-2</v>
      </c>
      <c r="K44" s="3">
        <f>'Historical &amp; Forecasted FS'!K85/'Historical &amp; Forecasted FS'!K$82</f>
        <v>2.8297260138056158E-2</v>
      </c>
      <c r="L44" s="3">
        <f>'Historical &amp; Forecasted FS'!L85/'Historical &amp; Forecasted FS'!L$82</f>
        <v>1.6974726518294982E-2</v>
      </c>
    </row>
    <row r="45" spans="2:12" x14ac:dyDescent="0.35">
      <c r="B45" t="str">
        <f>'Historical &amp; Forecasted FS'!B86</f>
        <v>Curr. Port. of LT Debt</v>
      </c>
      <c r="C45" s="3">
        <f>'Historical &amp; Forecasted FS'!C86/'Historical &amp; Forecasted FS'!C$82</f>
        <v>2.7208536958837813E-2</v>
      </c>
      <c r="D45" s="3">
        <f>'Historical &amp; Forecasted FS'!D86/'Historical &amp; Forecasted FS'!D$82</f>
        <v>2.9272072878816582E-2</v>
      </c>
      <c r="E45" s="3">
        <f>'Historical &amp; Forecasted FS'!E86/'Historical &amp; Forecasted FS'!E$82</f>
        <v>2.5195376858178471E-2</v>
      </c>
      <c r="F45" s="3">
        <f>'Historical &amp; Forecasted FS'!F86/'Historical &amp; Forecasted FS'!F$82</f>
        <v>3.1911520599809763E-2</v>
      </c>
      <c r="G45" s="3">
        <f>'Historical &amp; Forecasted FS'!G86/'Historical &amp; Forecasted FS'!G$82</f>
        <v>3.2713104108278081E-2</v>
      </c>
      <c r="H45" s="3">
        <f>'Historical &amp; Forecasted FS'!H86/'Historical &amp; Forecasted FS'!H$82</f>
        <v>3.0308759408713325E-2</v>
      </c>
      <c r="I45" s="3">
        <f>'Historical &amp; Forecasted FS'!I86/'Historical &amp; Forecasted FS'!I$82</f>
        <v>2.7086523736600306E-2</v>
      </c>
      <c r="J45" s="3">
        <f>'Historical &amp; Forecasted FS'!J86/'Historical &amp; Forecasted FS'!J$82</f>
        <v>2.7387308334425445E-2</v>
      </c>
      <c r="K45" s="3">
        <f>'Historical &amp; Forecasted FS'!K86/'Historical &amp; Forecasted FS'!K$82</f>
        <v>3.1545973834531046E-2</v>
      </c>
      <c r="L45" s="3">
        <f>'Historical &amp; Forecasted FS'!L86/'Historical &amp; Forecasted FS'!L$82</f>
        <v>2.7857270486665552E-2</v>
      </c>
    </row>
    <row r="46" spans="2:12" x14ac:dyDescent="0.35">
      <c r="B46" t="str">
        <f>'Historical &amp; Forecasted FS'!B87</f>
        <v>Curr. Port. of Leases</v>
      </c>
      <c r="C46" s="3" t="s">
        <v>43</v>
      </c>
      <c r="D46" s="3">
        <f>'Historical &amp; Forecasted FS'!D87/'Historical &amp; Forecasted FS'!D$82</f>
        <v>8.6552205135270108E-3</v>
      </c>
      <c r="E46" s="3">
        <f>'Historical &amp; Forecasted FS'!E87/'Historical &amp; Forecasted FS'!E$82</f>
        <v>1.0880175077560105E-2</v>
      </c>
      <c r="F46" s="3">
        <f>'Historical &amp; Forecasted FS'!F87/'Historical &amp; Forecasted FS'!F$82</f>
        <v>1.7307943376168006E-2</v>
      </c>
      <c r="G46" s="3">
        <f>'Historical &amp; Forecasted FS'!G87/'Historical &amp; Forecasted FS'!G$82</f>
        <v>2.4018046346298449E-2</v>
      </c>
      <c r="H46" s="3" t="s">
        <v>43</v>
      </c>
      <c r="I46" s="3">
        <f>'Historical &amp; Forecasted FS'!I87/'Historical &amp; Forecasted FS'!I$82</f>
        <v>4.5077310675295168E-3</v>
      </c>
      <c r="J46" s="3">
        <f>'Historical &amp; Forecasted FS'!J87/'Historical &amp; Forecasted FS'!J$82</f>
        <v>4.3532515484242251E-3</v>
      </c>
      <c r="K46" s="3">
        <f>'Historical &amp; Forecasted FS'!K87/'Historical &amp; Forecasted FS'!K$82</f>
        <v>4.7143201372057096E-3</v>
      </c>
      <c r="L46" s="3">
        <f>'Historical &amp; Forecasted FS'!L87/'Historical &amp; Forecasted FS'!L$82</f>
        <v>4.4670332942881533E-3</v>
      </c>
    </row>
    <row r="47" spans="2:12" x14ac:dyDescent="0.35">
      <c r="B47" t="str">
        <f>'Historical &amp; Forecasted FS'!B88</f>
        <v>Unearned Revenue, Current</v>
      </c>
      <c r="C47" s="3">
        <f>'Historical &amp; Forecasted FS'!C88/'Historical &amp; Forecasted FS'!C$82</f>
        <v>3.6624554108670243E-2</v>
      </c>
      <c r="D47" s="3">
        <f>'Historical &amp; Forecasted FS'!D88/'Historical &amp; Forecasted FS'!D$82</f>
        <v>3.0790955587318536E-2</v>
      </c>
      <c r="E47" s="3">
        <f>'Historical &amp; Forecasted FS'!E88/'Historical &amp; Forecasted FS'!E$82</f>
        <v>2.5117661321910185E-2</v>
      </c>
      <c r="F47" s="3">
        <f>'Historical &amp; Forecasted FS'!F88/'Historical &amp; Forecasted FS'!F$82</f>
        <v>2.0110892334254327E-2</v>
      </c>
      <c r="G47" s="3">
        <f>'Historical &amp; Forecasted FS'!G88/'Historical &amp; Forecasted FS'!G$82</f>
        <v>1.631280333583977E-2</v>
      </c>
      <c r="H47" s="3">
        <f>'Historical &amp; Forecasted FS'!H88/'Historical &amp; Forecasted FS'!H$82</f>
        <v>1.6312375190537524E-2</v>
      </c>
      <c r="I47" s="3">
        <f>'Historical &amp; Forecasted FS'!I88/'Historical &amp; Forecasted FS'!I$82</f>
        <v>2.05101763572593E-2</v>
      </c>
      <c r="J47" s="3">
        <f>'Historical &amp; Forecasted FS'!J88/'Historical &amp; Forecasted FS'!J$82</f>
        <v>2.1686486116888223E-2</v>
      </c>
      <c r="K47" s="3">
        <f>'Historical &amp; Forecasted FS'!K88/'Historical &amp; Forecasted FS'!K$82</f>
        <v>2.2429164717721932E-2</v>
      </c>
      <c r="L47" s="3">
        <f>'Historical &amp; Forecasted FS'!L88/'Historical &amp; Forecasted FS'!L$82</f>
        <v>2.2862701831909082E-2</v>
      </c>
    </row>
    <row r="48" spans="2:12" x14ac:dyDescent="0.35">
      <c r="B48" t="str">
        <f>'Historical &amp; Forecasted FS'!B89</f>
        <v>Other Current Liabilities</v>
      </c>
      <c r="C48" s="3">
        <f>'Historical &amp; Forecasted FS'!C89/'Historical &amp; Forecasted FS'!C$82</f>
        <v>3.4938038897683305E-4</v>
      </c>
      <c r="D48" s="3">
        <f>'Historical &amp; Forecasted FS'!D89/'Historical &amp; Forecasted FS'!D$82</f>
        <v>6.884912776180062E-3</v>
      </c>
      <c r="E48" s="3">
        <f>'Historical &amp; Forecasted FS'!E89/'Historical &amp; Forecasted FS'!E$82</f>
        <v>5.0670529646922773E-4</v>
      </c>
      <c r="F48" s="3">
        <f>'Historical &amp; Forecasted FS'!F89/'Historical &amp; Forecasted FS'!F$82</f>
        <v>8.1400088990965014E-2</v>
      </c>
      <c r="G48" s="3">
        <f>'Historical &amp; Forecasted FS'!G89/'Historical &amp; Forecasted FS'!G$82</f>
        <v>9.112584592248274E-2</v>
      </c>
      <c r="H48" s="3">
        <f>'Historical &amp; Forecasted FS'!H89/'Historical &amp; Forecasted FS'!H$82</f>
        <v>0.1114275248437297</v>
      </c>
      <c r="I48" s="3">
        <f>'Historical &amp; Forecasted FS'!I89/'Historical &amp; Forecasted FS'!I$82</f>
        <v>0.12727856543002519</v>
      </c>
      <c r="J48" s="3">
        <f>'Historical &amp; Forecasted FS'!J89/'Historical &amp; Forecasted FS'!J$82</f>
        <v>0.13095366977965939</v>
      </c>
      <c r="K48" s="3">
        <f>'Historical &amp; Forecasted FS'!K89/'Historical &amp; Forecasted FS'!K$82</f>
        <v>0.16777083244744936</v>
      </c>
      <c r="L48" s="3">
        <f>'Historical &amp; Forecasted FS'!L89/'Historical &amp; Forecasted FS'!L$82</f>
        <v>0.16238445982931679</v>
      </c>
    </row>
    <row r="49" spans="2:12" x14ac:dyDescent="0.35">
      <c r="B49" t="str">
        <f>'Historical &amp; Forecasted FS'!B90</f>
        <v>Total Current Liabilities</v>
      </c>
      <c r="C49" s="3">
        <f>'Historical &amp; Forecasted FS'!C90/'Historical &amp; Forecasted FS'!C$82</f>
        <v>0.27367267802224821</v>
      </c>
      <c r="D49" s="3">
        <f>'Historical &amp; Forecasted FS'!D90/'Historical &amp; Forecasted FS'!D$82</f>
        <v>0.27763522705746613</v>
      </c>
      <c r="E49" s="3">
        <f>'Historical &amp; Forecasted FS'!E90/'Historical &amp; Forecasted FS'!E$82</f>
        <v>0.24559974633648962</v>
      </c>
      <c r="F49" s="3">
        <f>'Historical &amp; Forecasted FS'!F90/'Historical &amp; Forecasted FS'!F$82</f>
        <v>0.26860883674953839</v>
      </c>
      <c r="G49" s="3">
        <f>'Historical &amp; Forecasted FS'!G90/'Historical &amp; Forecasted FS'!G$82</f>
        <v>0.31698407273224416</v>
      </c>
      <c r="H49" s="3">
        <f>'Historical &amp; Forecasted FS'!H90/'Historical &amp; Forecasted FS'!H$82</f>
        <v>0.31229838471445959</v>
      </c>
      <c r="I49" s="3">
        <f>'Historical &amp; Forecasted FS'!I90/'Historical &amp; Forecasted FS'!I$82</f>
        <v>0.32539643333497997</v>
      </c>
      <c r="J49" s="3">
        <f>'Historical &amp; Forecasted FS'!J90/'Historical &amp; Forecasted FS'!J$82</f>
        <v>0.35749368949464677</v>
      </c>
      <c r="K49" s="3">
        <f>'Historical &amp; Forecasted FS'!K90/'Historical &amp; Forecasted FS'!K$82</f>
        <v>0.43651259372652407</v>
      </c>
      <c r="L49" s="3">
        <f>'Historical &amp; Forecasted FS'!L90/'Historical &amp; Forecasted FS'!L$82</f>
        <v>0.41212423741360188</v>
      </c>
    </row>
    <row r="50" spans="2:12" x14ac:dyDescent="0.35">
      <c r="C50" s="3"/>
      <c r="D50" s="3"/>
      <c r="E50" s="3"/>
      <c r="F50" s="3"/>
      <c r="G50" s="3"/>
      <c r="H50" s="3"/>
      <c r="I50" s="3"/>
      <c r="J50" s="3"/>
      <c r="K50" s="3"/>
      <c r="L50" s="3"/>
    </row>
    <row r="51" spans="2:12" x14ac:dyDescent="0.35">
      <c r="B51" t="str">
        <f>'Historical &amp; Forecasted FS'!B92</f>
        <v>Long-Term Debt</v>
      </c>
      <c r="C51" s="3">
        <f>'Historical &amp; Forecasted FS'!C92/'Historical &amp; Forecasted FS'!C$82</f>
        <v>0.12503073253421557</v>
      </c>
      <c r="D51" s="3">
        <f>'Historical &amp; Forecasted FS'!D92/'Historical &amp; Forecasted FS'!D$82</f>
        <v>0.18367459401746197</v>
      </c>
      <c r="E51" s="3">
        <f>'Historical &amp; Forecasted FS'!E92/'Historical &amp; Forecasted FS'!E$82</f>
        <v>0.23447399016432172</v>
      </c>
      <c r="F51" s="3">
        <f>'Historical &amp; Forecasted FS'!F92/'Historical &amp; Forecasted FS'!F$82</f>
        <v>0.25899834540750666</v>
      </c>
      <c r="G51" s="3">
        <f>'Historical &amp; Forecasted FS'!G92/'Historical &amp; Forecasted FS'!G$82</f>
        <v>0.25629913186137127</v>
      </c>
      <c r="H51" s="3">
        <f>'Historical &amp; Forecasted FS'!H92/'Historical &amp; Forecasted FS'!H$82</f>
        <v>0.27120431530562811</v>
      </c>
      <c r="I51" s="3">
        <f>'Historical &amp; Forecasted FS'!I92/'Historical &amp; Forecasted FS'!I$82</f>
        <v>0.30463308304105124</v>
      </c>
      <c r="J51" s="3">
        <f>'Historical &amp; Forecasted FS'!J92/'Historical &amp; Forecasted FS'!J$82</f>
        <v>0.31084153366647482</v>
      </c>
      <c r="K51" s="3">
        <f>'Historical &amp; Forecasted FS'!K92/'Historical &amp; Forecasted FS'!K$82</f>
        <v>0.28053181386514719</v>
      </c>
      <c r="L51" s="3">
        <f>'Historical &amp; Forecasted FS'!L92/'Historical &amp; Forecasted FS'!L$82</f>
        <v>0.27023707892893306</v>
      </c>
    </row>
    <row r="52" spans="2:12" x14ac:dyDescent="0.35">
      <c r="B52" t="str">
        <f>'Historical &amp; Forecasted FS'!B93</f>
        <v>Long-Term Leases</v>
      </c>
      <c r="C52" s="3" t="s">
        <v>43</v>
      </c>
      <c r="D52" s="3" t="s">
        <v>43</v>
      </c>
      <c r="E52" s="3" t="s">
        <v>43</v>
      </c>
      <c r="F52" s="3" t="s">
        <v>43</v>
      </c>
      <c r="G52" s="3" t="s">
        <v>43</v>
      </c>
      <c r="H52" s="3" t="s">
        <v>43</v>
      </c>
      <c r="I52" s="3">
        <f>'Historical &amp; Forecasted FS'!I93/'Historical &amp; Forecasted FS'!I$82</f>
        <v>2.587931630687151E-2</v>
      </c>
      <c r="J52" s="3">
        <f>'Historical &amp; Forecasted FS'!J93/'Historical &amp; Forecasted FS'!J$82</f>
        <v>2.9273337473860548E-2</v>
      </c>
      <c r="K52" s="3">
        <f>'Historical &amp; Forecasted FS'!K93/'Historical &amp; Forecasted FS'!K$82</f>
        <v>3.046873892645037E-2</v>
      </c>
      <c r="L52" s="3">
        <f>'Historical &amp; Forecasted FS'!L93/'Historical &amp; Forecasted FS'!L$82</f>
        <v>3.1955596270948967E-2</v>
      </c>
    </row>
    <row r="53" spans="2:12" x14ac:dyDescent="0.35">
      <c r="B53" t="str">
        <f>'Historical &amp; Forecasted FS'!B94</f>
        <v>Unearned Revenue, Non-Current</v>
      </c>
      <c r="C53" s="3">
        <f>'Historical &amp; Forecasted FS'!C94/'Historical &amp; Forecasted FS'!C$82</f>
        <v>1.3073727888750383E-2</v>
      </c>
      <c r="D53" s="3">
        <f>'Historical &amp; Forecasted FS'!D94/'Historical &amp; Forecasted FS'!D$82</f>
        <v>1.2481702801839191E-2</v>
      </c>
      <c r="E53" s="3">
        <f>'Historical &amp; Forecasted FS'!E94/'Historical &amp; Forecasted FS'!E$82</f>
        <v>9.1082608506431739E-3</v>
      </c>
      <c r="F53" s="3">
        <f>'Historical &amp; Forecasted FS'!F94/'Historical &amp; Forecasted FS'!F$82</f>
        <v>7.5562388261718695E-3</v>
      </c>
      <c r="G53" s="3" t="s">
        <v>43</v>
      </c>
      <c r="H53" s="3" t="s">
        <v>43</v>
      </c>
      <c r="I53" s="3" t="s">
        <v>43</v>
      </c>
      <c r="J53" s="3" t="s">
        <v>43</v>
      </c>
      <c r="K53" s="3" t="s">
        <v>43</v>
      </c>
      <c r="L53" s="3" t="s">
        <v>43</v>
      </c>
    </row>
    <row r="54" spans="2:12" x14ac:dyDescent="0.35">
      <c r="B54" t="str">
        <f>'Historical &amp; Forecasted FS'!B95</f>
        <v>Def. Tax Liability, Non-Curr.</v>
      </c>
      <c r="C54" s="3">
        <f>'Historical &amp; Forecasted FS'!C95/'Historical &amp; Forecasted FS'!C$82</f>
        <v>8.738391728742792E-2</v>
      </c>
      <c r="D54" s="3">
        <f>'Historical &amp; Forecasted FS'!D95/'Historical &amp; Forecasted FS'!D$82</f>
        <v>8.2873822521483065E-2</v>
      </c>
      <c r="E54" s="3">
        <f>'Historical &amp; Forecasted FS'!E95/'Historical &amp; Forecasted FS'!E$82</f>
        <v>8.0883221526581825E-2</v>
      </c>
      <c r="F54" s="3">
        <f>'Historical &amp; Forecasted FS'!F95/'Historical &amp; Forecasted FS'!F$82</f>
        <v>8.3939262334174397E-2</v>
      </c>
      <c r="G54" s="3" t="s">
        <v>43</v>
      </c>
      <c r="H54" s="3" t="s">
        <v>43</v>
      </c>
      <c r="I54" s="3" t="s">
        <v>43</v>
      </c>
      <c r="J54" s="3" t="s">
        <v>43</v>
      </c>
      <c r="K54" s="3" t="s">
        <v>43</v>
      </c>
      <c r="L54" s="3" t="s">
        <v>43</v>
      </c>
    </row>
    <row r="55" spans="2:12" x14ac:dyDescent="0.35">
      <c r="B55" t="str">
        <f>'Historical &amp; Forecasted FS'!B96</f>
        <v>Other Non-Current Liabilities</v>
      </c>
      <c r="C55" s="3">
        <f>'Historical &amp; Forecasted FS'!C96/'Historical &amp; Forecasted FS'!C$82</f>
        <v>1.9699015264903662E-2</v>
      </c>
      <c r="D55" s="3">
        <f>'Historical &amp; Forecasted FS'!D96/'Historical &amp; Forecasted FS'!D$82</f>
        <v>3.2254731440183232E-2</v>
      </c>
      <c r="E55" s="3">
        <f>'Historical &amp; Forecasted FS'!E96/'Historical &amp; Forecasted FS'!E$82</f>
        <v>3.1257188687104816E-2</v>
      </c>
      <c r="F55" s="3">
        <f>'Historical &amp; Forecasted FS'!F96/'Historical &amp; Forecasted FS'!F$82</f>
        <v>2.3742469739075293E-2</v>
      </c>
      <c r="G55" s="3">
        <f>'Historical &amp; Forecasted FS'!G96/'Historical &amp; Forecasted FS'!G$82</f>
        <v>0.13374530043065144</v>
      </c>
      <c r="H55" s="3">
        <f>'Historical &amp; Forecasted FS'!H96/'Historical &amp; Forecasted FS'!H$82</f>
        <v>0.14918940315967341</v>
      </c>
      <c r="I55" s="3">
        <f>'Historical &amp; Forecasted FS'!I96/'Historical &amp; Forecasted FS'!I$82</f>
        <v>0.1423578520970212</v>
      </c>
      <c r="J55" s="3">
        <f>'Historical &amp; Forecasted FS'!J96/'Historical &amp; Forecasted FS'!J$82</f>
        <v>0.1226488737955909</v>
      </c>
      <c r="K55" s="3">
        <f>'Historical &amp; Forecasted FS'!K96/'Historical &amp; Forecasted FS'!K$82</f>
        <v>0.10884041331802526</v>
      </c>
      <c r="L55" s="3">
        <f>'Historical &amp; Forecasted FS'!L96/'Historical &amp; Forecasted FS'!L$82</f>
        <v>0.10942388033455952</v>
      </c>
    </row>
    <row r="56" spans="2:12" x14ac:dyDescent="0.35">
      <c r="B56" t="str">
        <f>'Historical &amp; Forecasted FS'!B97</f>
        <v>Total Non-Current Liabilities</v>
      </c>
      <c r="C56" s="3">
        <f>'Historical &amp; Forecasted FS'!C97/'Historical &amp; Forecasted FS'!C$82</f>
        <v>0.24518739297529751</v>
      </c>
      <c r="D56" s="3">
        <f>'Historical &amp; Forecasted FS'!D97/'Historical &amp; Forecasted FS'!D$82</f>
        <v>0.31128485078096746</v>
      </c>
      <c r="E56" s="3">
        <f>'Historical &amp; Forecasted FS'!E97/'Historical &amp; Forecasted FS'!E$82</f>
        <v>0.35572266122865154</v>
      </c>
      <c r="F56" s="3">
        <f>'Historical &amp; Forecasted FS'!F97/'Historical &amp; Forecasted FS'!F$82</f>
        <v>0.37423631630692822</v>
      </c>
      <c r="G56" s="3">
        <f>'Historical &amp; Forecasted FS'!G97/'Historical &amp; Forecasted FS'!G$82</f>
        <v>0.39004443229202268</v>
      </c>
      <c r="H56" s="3">
        <f>'Historical &amp; Forecasted FS'!H97/'Historical &amp; Forecasted FS'!H$82</f>
        <v>0.42039371846530149</v>
      </c>
      <c r="I56" s="3">
        <f>'Historical &amp; Forecasted FS'!I97/'Historical &amp; Forecasted FS'!I$82</f>
        <v>0.47287025144494393</v>
      </c>
      <c r="J56" s="3">
        <f>'Historical &amp; Forecasted FS'!J97/'Historical &amp; Forecasted FS'!J$82</f>
        <v>0.46276374493592631</v>
      </c>
      <c r="K56" s="3">
        <f>'Historical &amp; Forecasted FS'!K97/'Historical &amp; Forecasted FS'!K$82</f>
        <v>0.41984096610962285</v>
      </c>
      <c r="L56" s="3">
        <f>'Historical &amp; Forecasted FS'!L97/'Historical &amp; Forecasted FS'!L$82</f>
        <v>0.41161655553444154</v>
      </c>
    </row>
    <row r="57" spans="2:12" x14ac:dyDescent="0.35">
      <c r="B57" s="199" t="str">
        <f>'Historical &amp; Forecasted FS'!B98</f>
        <v>Total Liabilities</v>
      </c>
      <c r="C57" s="212">
        <f>'Historical &amp; Forecasted FS'!C98/'Historical &amp; Forecasted FS'!C$82</f>
        <v>0.51886007099754572</v>
      </c>
      <c r="D57" s="212">
        <f>'Historical &amp; Forecasted FS'!D98/'Historical &amp; Forecasted FS'!D$82</f>
        <v>0.58892007783843359</v>
      </c>
      <c r="E57" s="212">
        <f>'Historical &amp; Forecasted FS'!E98/'Historical &amp; Forecasted FS'!E$82</f>
        <v>0.60132240756514121</v>
      </c>
      <c r="F57" s="212">
        <f>'Historical &amp; Forecasted FS'!F98/'Historical &amp; Forecasted FS'!F$82</f>
        <v>0.64284515305646661</v>
      </c>
      <c r="G57" s="212">
        <f>'Historical &amp; Forecasted FS'!G98/'Historical &amp; Forecasted FS'!G$82</f>
        <v>0.70702850502426684</v>
      </c>
      <c r="H57" s="212">
        <f>'Historical &amp; Forecasted FS'!H98/'Historical &amp; Forecasted FS'!H$82</f>
        <v>0.73269210317976108</v>
      </c>
      <c r="I57" s="212">
        <f>'Historical &amp; Forecasted FS'!I98/'Historical &amp; Forecasted FS'!I$82</f>
        <v>0.79826668477992391</v>
      </c>
      <c r="J57" s="212">
        <f>'Historical &amp; Forecasted FS'!J98/'Historical &amp; Forecasted FS'!J$82</f>
        <v>0.82025743443057308</v>
      </c>
      <c r="K57" s="212">
        <f>'Historical &amp; Forecasted FS'!K98/'Historical &amp; Forecasted FS'!K$82</f>
        <v>0.85635355983614692</v>
      </c>
      <c r="L57" s="212">
        <f>'Historical &amp; Forecasted FS'!L98/'Historical &amp; Forecasted FS'!L$82</f>
        <v>0.82374079294804348</v>
      </c>
    </row>
  </sheetData>
  <sheetProtection password="CC0B" sheet="1" objects="1" scenarios="1" selectLockedCells="0" selectUnlockedCells="1"/>
  <mergeCells count="2">
    <mergeCell ref="B6:L6"/>
    <mergeCell ref="B24:L24"/>
  </mergeCells>
  <pageMargins left="0.7" right="0.7" top="0.75" bottom="0.75" header="0.3" footer="0.3"/>
  <pageSetup paperSize="9" orientation="portrait" horizontalDpi="4294967293" verticalDpi="0"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C3D784-C5DD-403E-81FB-B768D3B3ED9E}">
  <sheetPr>
    <tabColor rgb="FF002060"/>
  </sheetPr>
  <dimension ref="A1"/>
  <sheetViews>
    <sheetView showGridLines="0" workbookViewId="0">
      <selection activeCell="R16" sqref="R16"/>
    </sheetView>
  </sheetViews>
  <sheetFormatPr defaultRowHeight="14.5" x14ac:dyDescent="0.35"/>
  <cols>
    <col min="1" max="1" width="1.81640625" customWidth="1"/>
  </cols>
  <sheetData/>
  <sheetProtection password="CC0B" sheet="1" objects="1" scenarios="1" selectLockedCells="0" selectUnlockedCells="1"/>
  <pageMargins left="0.7" right="0.7" top="0.75" bottom="0.75" header="0.3" footer="0.3"/>
  <pageSetup paperSize="9" orientation="portrait" horizontalDpi="4294967293"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396A53-9B1D-4429-90D6-E69B167AA5B2}">
  <sheetPr>
    <pageSetUpPr fitToPage="1"/>
  </sheetPr>
  <dimension ref="B6:M45"/>
  <sheetViews>
    <sheetView showGridLines="0" tabSelected="1" topLeftCell="A17" zoomScaleNormal="100" workbookViewId="0">
      <selection activeCell="M34" sqref="M34"/>
    </sheetView>
  </sheetViews>
  <sheetFormatPr defaultRowHeight="14.5" x14ac:dyDescent="0.35"/>
  <cols>
    <col min="1" max="1" width="1.81640625" customWidth="1"/>
    <col min="2" max="2" width="36.26953125" bestFit="1" customWidth="1"/>
    <col min="3" max="3" width="7.453125" bestFit="1" customWidth="1"/>
    <col min="4" max="4" width="14.26953125" customWidth="1"/>
    <col min="5" max="5" width="12.453125" bestFit="1" customWidth="1"/>
    <col min="6" max="6" width="7.90625" bestFit="1" customWidth="1"/>
    <col min="7" max="7" width="9.36328125" bestFit="1" customWidth="1"/>
    <col min="9" max="9" width="9.36328125" customWidth="1"/>
    <col min="10" max="10" width="11.36328125" bestFit="1" customWidth="1"/>
  </cols>
  <sheetData>
    <row r="6" spans="2:10" x14ac:dyDescent="0.35">
      <c r="B6" s="231" t="str">
        <f>"Weighted Average Cost of Capital -"&amp; " " &amp;'Data Sheet'!$A$4</f>
        <v>Weighted Average Cost of Capital - Apple Inc.</v>
      </c>
      <c r="C6" s="231"/>
      <c r="D6" s="231"/>
      <c r="E6" s="231"/>
      <c r="F6" s="231"/>
      <c r="G6" s="231"/>
      <c r="H6" s="231"/>
      <c r="I6" s="231"/>
      <c r="J6" s="231"/>
    </row>
    <row r="8" spans="2:10" x14ac:dyDescent="0.35">
      <c r="B8" s="68" t="s">
        <v>288</v>
      </c>
    </row>
    <row r="10" spans="2:10" x14ac:dyDescent="0.35">
      <c r="B10" t="s">
        <v>289</v>
      </c>
    </row>
    <row r="11" spans="2:10" x14ac:dyDescent="0.35">
      <c r="B11" s="11"/>
      <c r="C11" s="91"/>
      <c r="D11" s="91"/>
      <c r="E11" s="91"/>
      <c r="F11" s="91"/>
      <c r="G11" s="91" t="s">
        <v>294</v>
      </c>
      <c r="H11" s="91" t="s">
        <v>294</v>
      </c>
      <c r="I11" s="91" t="s">
        <v>297</v>
      </c>
      <c r="J11" s="91" t="s">
        <v>298</v>
      </c>
    </row>
    <row r="12" spans="2:10" ht="16.5" x14ac:dyDescent="0.35">
      <c r="B12" s="76" t="s">
        <v>290</v>
      </c>
      <c r="C12" s="92" t="s">
        <v>291</v>
      </c>
      <c r="D12" s="92" t="s">
        <v>194</v>
      </c>
      <c r="E12" s="92" t="s">
        <v>187</v>
      </c>
      <c r="F12" s="92" t="s">
        <v>293</v>
      </c>
      <c r="G12" s="92" t="s">
        <v>295</v>
      </c>
      <c r="H12" s="92" t="s">
        <v>296</v>
      </c>
      <c r="I12" s="92" t="s">
        <v>299</v>
      </c>
      <c r="J12" s="92" t="s">
        <v>300</v>
      </c>
    </row>
    <row r="14" spans="2:10" x14ac:dyDescent="0.35">
      <c r="B14" t="s">
        <v>7</v>
      </c>
      <c r="C14" t="s">
        <v>301</v>
      </c>
      <c r="D14" s="99">
        <v>108040</v>
      </c>
      <c r="E14" s="99">
        <v>2806903.7</v>
      </c>
      <c r="F14" s="6">
        <v>0.1472</v>
      </c>
      <c r="G14" s="3">
        <f>D14/E14</f>
        <v>3.8490811067013089E-2</v>
      </c>
      <c r="H14" s="74">
        <f>D14/(D14+E14)</f>
        <v>3.7064180690693956E-2</v>
      </c>
      <c r="I14" s="49">
        <f>'Regression Beta'!K15</f>
        <v>1.1694004225369685</v>
      </c>
      <c r="J14" s="75">
        <f>I14/(1+(1-F14)*G14)</f>
        <v>1.132234854561093</v>
      </c>
    </row>
    <row r="15" spans="2:10" x14ac:dyDescent="0.35">
      <c r="B15" t="s">
        <v>461</v>
      </c>
      <c r="C15" t="s">
        <v>301</v>
      </c>
      <c r="D15" s="99">
        <v>9286</v>
      </c>
      <c r="E15" s="99">
        <v>393026</v>
      </c>
      <c r="F15" s="6">
        <v>0.1472</v>
      </c>
      <c r="G15" s="3">
        <f t="shared" ref="G15:G17" si="0">D15/E15</f>
        <v>2.3626935622579677E-2</v>
      </c>
      <c r="H15" s="74">
        <f t="shared" ref="H15:H18" si="1">D15/(D15+E15)</f>
        <v>2.3081588418938537E-2</v>
      </c>
      <c r="I15" s="49">
        <f>'Regression Beta'!K23</f>
        <v>0.87703170033261424</v>
      </c>
      <c r="J15" s="75">
        <f>I15/(1+(1-F15)*G15)</f>
        <v>0.85970937259779101</v>
      </c>
    </row>
    <row r="16" spans="2:10" x14ac:dyDescent="0.35">
      <c r="B16" t="s">
        <v>338</v>
      </c>
      <c r="C16" t="s">
        <v>301</v>
      </c>
      <c r="D16" s="99">
        <v>111358</v>
      </c>
      <c r="E16" s="99">
        <v>3082474.5</v>
      </c>
      <c r="F16" s="6">
        <v>0.1472</v>
      </c>
      <c r="G16" s="3">
        <f t="shared" si="0"/>
        <v>3.6126170711225675E-2</v>
      </c>
      <c r="H16" s="74">
        <f t="shared" si="1"/>
        <v>3.4866574875169566E-2</v>
      </c>
      <c r="I16" s="49">
        <f>'Regression Beta'!K31</f>
        <v>0.91416833221186389</v>
      </c>
      <c r="J16" s="75">
        <f t="shared" ref="J16:J18" si="2">I16/(1+(1-F16)*G16)</f>
        <v>0.88684602652278322</v>
      </c>
    </row>
    <row r="17" spans="2:13" x14ac:dyDescent="0.35">
      <c r="B17" t="s">
        <v>302</v>
      </c>
      <c r="C17" t="s">
        <v>301</v>
      </c>
      <c r="D17" s="99">
        <v>29867</v>
      </c>
      <c r="E17" s="99">
        <v>2093387.6</v>
      </c>
      <c r="F17" s="6">
        <v>0.1472</v>
      </c>
      <c r="G17" s="3">
        <f t="shared" si="0"/>
        <v>1.4267305299792546E-2</v>
      </c>
      <c r="H17" s="74">
        <f t="shared" si="1"/>
        <v>1.4066612642685432E-2</v>
      </c>
      <c r="I17" s="49">
        <f>'Regression Beta'!K39</f>
        <v>1.0383109465405234</v>
      </c>
      <c r="J17" s="75">
        <f t="shared" si="2"/>
        <v>1.0258295167702942</v>
      </c>
    </row>
    <row r="18" spans="2:13" x14ac:dyDescent="0.35">
      <c r="B18" t="s">
        <v>383</v>
      </c>
      <c r="C18" t="s">
        <v>301</v>
      </c>
      <c r="D18" s="99">
        <v>161574</v>
      </c>
      <c r="E18" s="99">
        <v>1936876</v>
      </c>
      <c r="F18" s="6">
        <v>0.1472</v>
      </c>
      <c r="G18" s="3">
        <f>D18/E18</f>
        <v>8.3419898847422347E-2</v>
      </c>
      <c r="H18" s="74">
        <f t="shared" si="1"/>
        <v>7.6996830994305321E-2</v>
      </c>
      <c r="I18" s="49">
        <f>'Regression Beta'!K47</f>
        <v>1.1214972431584156</v>
      </c>
      <c r="J18" s="75">
        <f t="shared" si="2"/>
        <v>1.0470122770111083</v>
      </c>
      <c r="M18" s="148"/>
    </row>
    <row r="19" spans="2:13" x14ac:dyDescent="0.35">
      <c r="D19" s="86"/>
      <c r="E19" s="86"/>
    </row>
    <row r="20" spans="2:13" x14ac:dyDescent="0.35">
      <c r="E20" s="77" t="s">
        <v>303</v>
      </c>
      <c r="F20" s="78">
        <f>AVERAGE(F14:F18)</f>
        <v>0.1472</v>
      </c>
      <c r="G20" s="79">
        <f>AVERAGE(G14:G18)</f>
        <v>3.9186224309606665E-2</v>
      </c>
      <c r="H20" s="79">
        <f>AVERAGE(H14:H18)</f>
        <v>3.7215157524358562E-2</v>
      </c>
      <c r="I20" s="80">
        <f>AVERAGE(I14:I18)</f>
        <v>1.0240817289560771</v>
      </c>
      <c r="J20" s="80">
        <f>AVERAGE(J14:J18)</f>
        <v>0.99032640949261397</v>
      </c>
    </row>
    <row r="21" spans="2:13" x14ac:dyDescent="0.35">
      <c r="E21" s="81" t="s">
        <v>258</v>
      </c>
      <c r="F21" s="82">
        <f>MEDIAN(F14:F18)</f>
        <v>0.1472</v>
      </c>
      <c r="G21" s="83">
        <f t="shared" ref="G21:J21" si="3">MEDIAN(G14:G18)</f>
        <v>3.6126170711225675E-2</v>
      </c>
      <c r="H21" s="83">
        <f t="shared" si="3"/>
        <v>3.4866574875169566E-2</v>
      </c>
      <c r="I21" s="84">
        <f t="shared" si="3"/>
        <v>1.0383109465405234</v>
      </c>
      <c r="J21" s="84">
        <f t="shared" si="3"/>
        <v>1.0258295167702942</v>
      </c>
    </row>
    <row r="23" spans="2:13" x14ac:dyDescent="0.35">
      <c r="B23" s="81" t="s">
        <v>304</v>
      </c>
      <c r="C23" s="76"/>
      <c r="E23" s="81" t="s">
        <v>311</v>
      </c>
      <c r="F23" s="76"/>
      <c r="G23" s="76"/>
      <c r="H23" s="76"/>
      <c r="I23" s="76"/>
      <c r="J23" s="76"/>
    </row>
    <row r="25" spans="2:13" x14ac:dyDescent="0.35">
      <c r="B25" t="s">
        <v>305</v>
      </c>
      <c r="C25" s="7">
        <f>-'Data Sheet'!L34/WACC!D14</f>
        <v>3.6403184005923732E-2</v>
      </c>
      <c r="I25" s="81" t="s">
        <v>312</v>
      </c>
      <c r="J25" s="81" t="s">
        <v>313</v>
      </c>
    </row>
    <row r="26" spans="2:13" x14ac:dyDescent="0.35">
      <c r="B26" t="s">
        <v>292</v>
      </c>
      <c r="C26" s="4">
        <f>F18</f>
        <v>0.1472</v>
      </c>
      <c r="E26" t="s">
        <v>194</v>
      </c>
      <c r="H26" s="89">
        <f>D14</f>
        <v>108040</v>
      </c>
      <c r="I26" s="3">
        <f>H26/$H$28</f>
        <v>3.7064180690693956E-2</v>
      </c>
      <c r="J26" s="4">
        <f>H20</f>
        <v>3.7215157524358562E-2</v>
      </c>
    </row>
    <row r="27" spans="2:13" x14ac:dyDescent="0.35">
      <c r="B27" s="57" t="s">
        <v>306</v>
      </c>
      <c r="C27" s="85">
        <f>C25*(1-C26)</f>
        <v>3.104463532025176E-2</v>
      </c>
      <c r="E27" s="59" t="s">
        <v>314</v>
      </c>
      <c r="F27" s="59"/>
      <c r="G27" s="59"/>
      <c r="H27" s="97">
        <f>E14</f>
        <v>2806903.7</v>
      </c>
      <c r="I27" s="60">
        <f>H27/$H$28</f>
        <v>0.96293581930930605</v>
      </c>
      <c r="J27" s="61">
        <f>J28-J26</f>
        <v>0.96278484247564144</v>
      </c>
    </row>
    <row r="28" spans="2:13" x14ac:dyDescent="0.35">
      <c r="E28" t="s">
        <v>315</v>
      </c>
      <c r="H28" s="89">
        <f>SUM(H26:H27)</f>
        <v>2914943.7</v>
      </c>
      <c r="I28" s="3">
        <f>H28/$H$28</f>
        <v>1</v>
      </c>
      <c r="J28" s="4">
        <f>I28</f>
        <v>1</v>
      </c>
    </row>
    <row r="30" spans="2:13" x14ac:dyDescent="0.35">
      <c r="E30" t="s">
        <v>319</v>
      </c>
      <c r="I30" s="87">
        <f>I26/I27</f>
        <v>3.8490811067013089E-2</v>
      </c>
      <c r="J30" s="87">
        <f>J26/J27</f>
        <v>3.8653659553536342E-2</v>
      </c>
    </row>
    <row r="32" spans="2:13" x14ac:dyDescent="0.35">
      <c r="B32" s="81" t="s">
        <v>307</v>
      </c>
      <c r="E32" s="81" t="s">
        <v>316</v>
      </c>
      <c r="F32" s="76"/>
      <c r="G32" s="76"/>
      <c r="H32" s="76"/>
      <c r="I32" s="76"/>
      <c r="J32" s="76"/>
    </row>
    <row r="33" spans="2:10" x14ac:dyDescent="0.35">
      <c r="C33" s="11"/>
    </row>
    <row r="34" spans="2:10" x14ac:dyDescent="0.35">
      <c r="B34" t="s">
        <v>308</v>
      </c>
      <c r="C34" s="5">
        <v>4.4999999999999998E-2</v>
      </c>
      <c r="E34" t="s">
        <v>317</v>
      </c>
      <c r="J34" s="49">
        <f>J21</f>
        <v>1.0258295167702942</v>
      </c>
    </row>
    <row r="35" spans="2:10" x14ac:dyDescent="0.35">
      <c r="B35" t="s">
        <v>309</v>
      </c>
      <c r="C35" s="5">
        <v>4.5999999999999999E-2</v>
      </c>
      <c r="E35" t="s">
        <v>318</v>
      </c>
      <c r="J35" s="4">
        <f>J30</f>
        <v>3.8653659553536342E-2</v>
      </c>
    </row>
    <row r="36" spans="2:10" ht="16.5" x14ac:dyDescent="0.35">
      <c r="B36" s="59" t="s">
        <v>310</v>
      </c>
      <c r="C36" s="63">
        <f>J37</f>
        <v>1.0596447977180443</v>
      </c>
      <c r="E36" t="s">
        <v>292</v>
      </c>
      <c r="J36" s="4">
        <f>F18</f>
        <v>0.1472</v>
      </c>
    </row>
    <row r="37" spans="2:10" x14ac:dyDescent="0.35">
      <c r="B37" t="s">
        <v>307</v>
      </c>
      <c r="C37" s="87">
        <f>C34+C36*(C35)</f>
        <v>9.374366069503004E-2</v>
      </c>
      <c r="E37" s="57" t="s">
        <v>316</v>
      </c>
      <c r="F37" s="57"/>
      <c r="G37" s="57"/>
      <c r="H37" s="57"/>
      <c r="I37" s="57"/>
      <c r="J37" s="88">
        <f>J34*(1+(1-J36)*J35)</f>
        <v>1.0596447977180443</v>
      </c>
    </row>
    <row r="39" spans="2:10" x14ac:dyDescent="0.35">
      <c r="B39" s="90" t="s">
        <v>323</v>
      </c>
      <c r="E39" s="81" t="s">
        <v>287</v>
      </c>
      <c r="F39" s="76"/>
      <c r="G39" s="76"/>
      <c r="H39" s="76"/>
      <c r="I39" s="76"/>
      <c r="J39" s="76"/>
    </row>
    <row r="40" spans="2:10" x14ac:dyDescent="0.35">
      <c r="B40" s="93" t="s">
        <v>324</v>
      </c>
    </row>
    <row r="41" spans="2:10" x14ac:dyDescent="0.35">
      <c r="B41" s="93" t="s">
        <v>384</v>
      </c>
      <c r="I41" s="81" t="s">
        <v>321</v>
      </c>
      <c r="J41" s="81" t="s">
        <v>322</v>
      </c>
    </row>
    <row r="42" spans="2:10" x14ac:dyDescent="0.35">
      <c r="B42" s="93" t="s">
        <v>326</v>
      </c>
      <c r="E42" t="s">
        <v>320</v>
      </c>
      <c r="I42" s="4">
        <f>C27</f>
        <v>3.104463532025176E-2</v>
      </c>
      <c r="J42" s="4">
        <f>J26</f>
        <v>3.7215157524358562E-2</v>
      </c>
    </row>
    <row r="43" spans="2:10" x14ac:dyDescent="0.35">
      <c r="B43" s="93" t="s">
        <v>325</v>
      </c>
      <c r="E43" t="s">
        <v>295</v>
      </c>
      <c r="I43" s="4">
        <f>C37</f>
        <v>9.374366069503004E-2</v>
      </c>
      <c r="J43" s="4">
        <f>J27</f>
        <v>0.96278484247564144</v>
      </c>
    </row>
    <row r="44" spans="2:10" x14ac:dyDescent="0.35">
      <c r="B44" s="111" t="s">
        <v>382</v>
      </c>
      <c r="E44" t="s">
        <v>287</v>
      </c>
      <c r="I44" s="10"/>
      <c r="J44" s="74">
        <f>SUMPRODUCT(I42:I43,J42:J43)</f>
        <v>9.1410306589083903E-2</v>
      </c>
    </row>
    <row r="45" spans="2:10" x14ac:dyDescent="0.35">
      <c r="B45" s="116" t="s">
        <v>385</v>
      </c>
    </row>
  </sheetData>
  <sheetProtection password="CC0B" sheet="1" objects="1" scenarios="1" selectLockedCells="0" selectUnlockedCells="1"/>
  <mergeCells count="1">
    <mergeCell ref="B6:J6"/>
  </mergeCells>
  <hyperlinks>
    <hyperlink ref="B44" r:id="rId1" display="5. Risk-Free Rate is 10-year treasury yield" xr:uid="{FC4CFDF6-5D27-49AE-9309-49402774624D}"/>
    <hyperlink ref="B45" r:id="rId2" display="7. Equity Risk Premium is derived from Ashwath Damodaran" xr:uid="{0298E2F5-F9FD-4372-B8FE-72C5CE1A1462}"/>
  </hyperlinks>
  <pageMargins left="0.25" right="0.25" top="0.75" bottom="0.75" header="0.3" footer="0.3"/>
  <pageSetup paperSize="9" scale="83" orientation="portrait" horizontalDpi="4294967293" verticalDpi="0" r:id="rId3"/>
  <drawing r:id="rId4"/>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2493B3-7E7B-46A9-92D2-3F3145A9402C}">
  <sheetPr>
    <pageSetUpPr fitToPage="1"/>
  </sheetPr>
  <dimension ref="B1:AA70"/>
  <sheetViews>
    <sheetView showGridLines="0" zoomScaleNormal="100" workbookViewId="0">
      <selection activeCell="K15" sqref="K15"/>
    </sheetView>
  </sheetViews>
  <sheetFormatPr defaultRowHeight="14.5" x14ac:dyDescent="0.35"/>
  <cols>
    <col min="1" max="1" width="1.81640625" customWidth="1"/>
    <col min="2" max="2" width="10.08984375" bestFit="1" customWidth="1"/>
    <col min="3" max="3" width="12" customWidth="1"/>
    <col min="4" max="4" width="9" style="3" customWidth="1"/>
    <col min="5" max="5" width="7.453125" style="3" customWidth="1"/>
    <col min="6" max="6" width="10.08984375" bestFit="1" customWidth="1"/>
    <col min="7" max="7" width="11.1796875" bestFit="1" customWidth="1"/>
    <col min="10" max="10" width="20" bestFit="1" customWidth="1"/>
    <col min="11" max="11" width="9.1796875" customWidth="1"/>
    <col min="13" max="13" width="10.08984375" bestFit="1" customWidth="1"/>
    <col min="14" max="14" width="11.26953125" bestFit="1" customWidth="1"/>
    <col min="17" max="17" width="10.08984375" bestFit="1" customWidth="1"/>
    <col min="18" max="18" width="11.26953125" bestFit="1" customWidth="1"/>
    <col min="21" max="21" width="10.08984375" bestFit="1" customWidth="1"/>
    <col min="22" max="22" width="11.26953125" bestFit="1" customWidth="1"/>
    <col min="25" max="25" width="10.08984375" bestFit="1" customWidth="1"/>
    <col min="26" max="26" width="11.26953125" bestFit="1" customWidth="1"/>
  </cols>
  <sheetData>
    <row r="1" spans="2:27" x14ac:dyDescent="0.35">
      <c r="D1"/>
      <c r="E1"/>
    </row>
    <row r="2" spans="2:27" x14ac:dyDescent="0.35">
      <c r="D2"/>
      <c r="E2"/>
    </row>
    <row r="3" spans="2:27" x14ac:dyDescent="0.35">
      <c r="D3"/>
      <c r="E3"/>
    </row>
    <row r="4" spans="2:27" x14ac:dyDescent="0.35">
      <c r="D4"/>
      <c r="E4"/>
    </row>
    <row r="5" spans="2:27" x14ac:dyDescent="0.35">
      <c r="D5"/>
      <c r="E5"/>
    </row>
    <row r="6" spans="2:27" ht="14.5" customHeight="1" x14ac:dyDescent="0.35">
      <c r="B6" s="207" t="str">
        <f>"Regression Beta - 5 Years Monthly -"&amp; " "&amp;'Data Sheet'!$A$4</f>
        <v>Regression Beta - 5 Years Monthly - Apple Inc.</v>
      </c>
      <c r="C6" s="207"/>
      <c r="D6" s="207"/>
      <c r="E6" s="207"/>
      <c r="F6" s="207"/>
      <c r="G6" s="207"/>
      <c r="H6" s="207"/>
      <c r="I6" s="207"/>
      <c r="J6" s="207"/>
      <c r="K6" s="207"/>
      <c r="L6" s="207"/>
      <c r="M6" s="207"/>
      <c r="N6" s="207"/>
      <c r="O6" s="207"/>
      <c r="P6" s="207"/>
      <c r="Q6" s="207"/>
      <c r="R6" s="207"/>
      <c r="S6" s="207"/>
      <c r="T6" s="207"/>
      <c r="U6" s="207"/>
      <c r="V6" s="207"/>
      <c r="W6" s="207"/>
      <c r="X6" s="207"/>
      <c r="Y6" s="207"/>
      <c r="Z6" s="207"/>
      <c r="AA6" s="207"/>
    </row>
    <row r="7" spans="2:27" x14ac:dyDescent="0.35">
      <c r="D7"/>
      <c r="E7"/>
    </row>
    <row r="8" spans="2:27" x14ac:dyDescent="0.35">
      <c r="B8" s="237" t="s">
        <v>330</v>
      </c>
      <c r="C8" s="237"/>
      <c r="D8" s="237"/>
      <c r="E8"/>
      <c r="F8" s="237" t="s">
        <v>331</v>
      </c>
      <c r="G8" s="237"/>
      <c r="H8" s="237"/>
      <c r="J8" s="237" t="s">
        <v>337</v>
      </c>
      <c r="K8" s="237"/>
      <c r="M8" s="237" t="s">
        <v>561</v>
      </c>
      <c r="N8" s="237"/>
      <c r="O8" s="237"/>
      <c r="Q8" s="237" t="s">
        <v>339</v>
      </c>
      <c r="R8" s="237"/>
      <c r="S8" s="237"/>
      <c r="U8" s="237" t="s">
        <v>340</v>
      </c>
      <c r="V8" s="237"/>
      <c r="W8" s="237"/>
      <c r="Y8" s="237" t="s">
        <v>562</v>
      </c>
      <c r="Z8" s="237"/>
      <c r="AA8" s="237"/>
    </row>
    <row r="9" spans="2:27" x14ac:dyDescent="0.35">
      <c r="B9" s="95" t="s">
        <v>327</v>
      </c>
      <c r="C9" s="95" t="s">
        <v>328</v>
      </c>
      <c r="D9" s="96" t="s">
        <v>329</v>
      </c>
      <c r="E9" s="96"/>
      <c r="F9" s="96" t="s">
        <v>327</v>
      </c>
      <c r="G9" s="96" t="s">
        <v>328</v>
      </c>
      <c r="H9" s="96" t="s">
        <v>329</v>
      </c>
      <c r="J9" s="96" t="s">
        <v>7</v>
      </c>
      <c r="M9" s="95" t="s">
        <v>327</v>
      </c>
      <c r="N9" s="95" t="s">
        <v>328</v>
      </c>
      <c r="O9" s="96" t="s">
        <v>329</v>
      </c>
      <c r="Q9" s="95" t="s">
        <v>327</v>
      </c>
      <c r="R9" s="95" t="s">
        <v>328</v>
      </c>
      <c r="S9" s="96" t="s">
        <v>329</v>
      </c>
      <c r="U9" s="95" t="s">
        <v>327</v>
      </c>
      <c r="V9" s="95" t="s">
        <v>328</v>
      </c>
      <c r="W9" s="96" t="s">
        <v>329</v>
      </c>
      <c r="Y9" s="95" t="s">
        <v>327</v>
      </c>
      <c r="Z9" s="95" t="s">
        <v>328</v>
      </c>
      <c r="AA9" s="96" t="s">
        <v>329</v>
      </c>
    </row>
    <row r="10" spans="2:27" x14ac:dyDescent="0.35">
      <c r="B10" s="94">
        <v>43617</v>
      </c>
      <c r="C10" s="9">
        <v>47.753017</v>
      </c>
      <c r="F10" s="94">
        <v>43617</v>
      </c>
      <c r="G10" s="9">
        <v>2941.76001</v>
      </c>
      <c r="J10" t="s">
        <v>332</v>
      </c>
      <c r="K10" s="49">
        <f>SLOPE(D11:D69,$H$11:$H$69)</f>
        <v>1.2258672300492914</v>
      </c>
      <c r="M10" s="94">
        <v>43617</v>
      </c>
      <c r="N10" s="49">
        <v>30.554235781619997</v>
      </c>
      <c r="Q10" s="94">
        <v>43617</v>
      </c>
      <c r="R10" s="49">
        <v>127.987549</v>
      </c>
      <c r="U10" s="94">
        <v>43617</v>
      </c>
      <c r="V10" s="49">
        <v>54.045501999999999</v>
      </c>
      <c r="Y10" s="94">
        <v>43617</v>
      </c>
      <c r="Z10" s="49">
        <v>94.681503000000006</v>
      </c>
    </row>
    <row r="11" spans="2:27" x14ac:dyDescent="0.35">
      <c r="B11" s="94">
        <v>43647</v>
      </c>
      <c r="C11" s="9">
        <v>51.401072999999997</v>
      </c>
      <c r="D11" s="3">
        <f>C11/C10-1</f>
        <v>7.63942516972278E-2</v>
      </c>
      <c r="F11" s="94">
        <v>43647</v>
      </c>
      <c r="G11" s="9">
        <v>2980.3798830000001</v>
      </c>
      <c r="H11" s="3">
        <f>G11/G10-1</f>
        <v>1.3128152149977756E-2</v>
      </c>
      <c r="J11" t="s">
        <v>333</v>
      </c>
      <c r="K11" s="4">
        <v>0.75</v>
      </c>
      <c r="M11" s="94">
        <v>43647</v>
      </c>
      <c r="N11" s="49">
        <v>29.711739999999999</v>
      </c>
      <c r="O11" s="3">
        <f>N11/N10-1</f>
        <v>-2.7573780199955267E-2</v>
      </c>
      <c r="Q11" s="94">
        <v>43647</v>
      </c>
      <c r="R11" s="49">
        <v>130.19451900000001</v>
      </c>
      <c r="S11" s="3">
        <f>R11/R10-1</f>
        <v>1.7243630472211002E-2</v>
      </c>
      <c r="U11" s="94">
        <v>43647</v>
      </c>
      <c r="V11" s="49">
        <v>60.834000000000003</v>
      </c>
      <c r="W11" s="3">
        <f>V11/V10-1</f>
        <v>0.12560708567384582</v>
      </c>
      <c r="Y11" s="94">
        <v>43647</v>
      </c>
      <c r="Z11" s="49">
        <v>93.338997000000006</v>
      </c>
      <c r="AA11" s="3">
        <f>Z11/Z10-1</f>
        <v>-1.4179179221521232E-2</v>
      </c>
    </row>
    <row r="12" spans="2:27" x14ac:dyDescent="0.35">
      <c r="B12" s="94">
        <v>43678</v>
      </c>
      <c r="C12" s="9">
        <v>50.363598000000003</v>
      </c>
      <c r="D12" s="3">
        <f t="shared" ref="D12:D69" si="0">C12/C11-1</f>
        <v>-2.0183917172312604E-2</v>
      </c>
      <c r="F12" s="94">
        <v>43678</v>
      </c>
      <c r="G12" s="9">
        <v>2926.459961</v>
      </c>
      <c r="H12" s="3">
        <f t="shared" ref="H12:H69" si="1">G12/G11-1</f>
        <v>-1.8091627281326739E-2</v>
      </c>
      <c r="J12" t="s">
        <v>334</v>
      </c>
      <c r="K12">
        <v>1</v>
      </c>
      <c r="M12" s="94">
        <v>43678</v>
      </c>
      <c r="N12" s="49">
        <v>28.827269452939998</v>
      </c>
      <c r="O12" s="3">
        <f t="shared" ref="O12:O69" si="2">N12/N11-1</f>
        <v>-2.976838606759491E-2</v>
      </c>
      <c r="Q12" s="94">
        <v>43678</v>
      </c>
      <c r="R12" s="49">
        <v>131.713638</v>
      </c>
      <c r="S12" s="3">
        <f t="shared" ref="S12:S69" si="3">R12/R11-1</f>
        <v>1.1668071833346394E-2</v>
      </c>
      <c r="U12" s="94">
        <v>43678</v>
      </c>
      <c r="V12" s="49">
        <v>59.404998999999997</v>
      </c>
      <c r="W12" s="3">
        <f t="shared" ref="W12:W69" si="4">V12/V11-1</f>
        <v>-2.349016997074016E-2</v>
      </c>
      <c r="Y12" s="94">
        <v>43678</v>
      </c>
      <c r="Z12" s="49">
        <v>88.814498999999998</v>
      </c>
      <c r="AA12" s="3">
        <f t="shared" ref="AA12:AA69" si="5">Z12/Z11-1</f>
        <v>-4.8473822790275012E-2</v>
      </c>
    </row>
    <row r="13" spans="2:27" x14ac:dyDescent="0.35">
      <c r="B13" s="94">
        <v>43709</v>
      </c>
      <c r="C13" s="9">
        <v>54.243526000000003</v>
      </c>
      <c r="D13" s="3">
        <f t="shared" si="0"/>
        <v>7.7038340271082362E-2</v>
      </c>
      <c r="F13" s="94">
        <v>43709</v>
      </c>
      <c r="G13" s="9">
        <v>2976.73999</v>
      </c>
      <c r="H13" s="3">
        <f t="shared" si="1"/>
        <v>1.7181177829208583E-2</v>
      </c>
      <c r="J13" t="s">
        <v>335</v>
      </c>
      <c r="K13" s="4">
        <v>0.25</v>
      </c>
      <c r="M13" s="94">
        <v>43709</v>
      </c>
      <c r="N13" s="49">
        <v>32.135849922060004</v>
      </c>
      <c r="O13" s="3">
        <f t="shared" si="2"/>
        <v>0.11477259316985267</v>
      </c>
      <c r="Q13" s="94">
        <v>43709</v>
      </c>
      <c r="R13" s="49">
        <v>133.273788</v>
      </c>
      <c r="S13" s="3">
        <f t="shared" si="3"/>
        <v>1.184501486474776E-2</v>
      </c>
      <c r="U13" s="94">
        <v>43709</v>
      </c>
      <c r="V13" s="49">
        <v>60.950001</v>
      </c>
      <c r="W13" s="3">
        <f t="shared" si="4"/>
        <v>2.6007945896943774E-2</v>
      </c>
      <c r="Y13" s="94">
        <v>43709</v>
      </c>
      <c r="Z13" s="49">
        <v>86.795501999999999</v>
      </c>
      <c r="AA13" s="3">
        <f t="shared" si="5"/>
        <v>-2.2732740968341214E-2</v>
      </c>
    </row>
    <row r="14" spans="2:27" x14ac:dyDescent="0.35">
      <c r="B14" s="94">
        <v>43739</v>
      </c>
      <c r="C14" s="9">
        <v>60.247433000000001</v>
      </c>
      <c r="D14" s="3">
        <f t="shared" si="0"/>
        <v>0.11068430544135355</v>
      </c>
      <c r="F14" s="94">
        <v>43739</v>
      </c>
      <c r="G14" s="9">
        <v>3037.5600589999999</v>
      </c>
      <c r="H14" s="3">
        <f t="shared" si="1"/>
        <v>2.0431770730503063E-2</v>
      </c>
      <c r="M14" s="94">
        <v>43739</v>
      </c>
      <c r="N14" s="49">
        <v>33.259632422060001</v>
      </c>
      <c r="O14" s="3">
        <f t="shared" si="2"/>
        <v>3.4969745711581846E-2</v>
      </c>
      <c r="Q14" s="94">
        <v>43739</v>
      </c>
      <c r="R14" s="49">
        <v>137.434113</v>
      </c>
      <c r="S14" s="3">
        <f t="shared" si="3"/>
        <v>3.1216378422439739E-2</v>
      </c>
      <c r="U14" s="94">
        <v>43739</v>
      </c>
      <c r="V14" s="49">
        <v>63.005501000000002</v>
      </c>
      <c r="W14" s="3">
        <f t="shared" si="4"/>
        <v>3.3724363679666025E-2</v>
      </c>
      <c r="Y14" s="94">
        <v>43739</v>
      </c>
      <c r="Z14" s="49">
        <v>88.832999999999998</v>
      </c>
      <c r="AA14" s="3">
        <f t="shared" si="5"/>
        <v>2.3474695727896178E-2</v>
      </c>
    </row>
    <row r="15" spans="2:27" x14ac:dyDescent="0.35">
      <c r="B15" s="94">
        <v>43770</v>
      </c>
      <c r="C15" s="9">
        <v>64.725532999999999</v>
      </c>
      <c r="D15" s="3">
        <f t="shared" si="0"/>
        <v>7.4328478028267142E-2</v>
      </c>
      <c r="F15" s="94">
        <v>43770</v>
      </c>
      <c r="G15" s="9">
        <v>3140.9799800000001</v>
      </c>
      <c r="H15" s="3">
        <f t="shared" si="1"/>
        <v>3.4047037421886195E-2</v>
      </c>
      <c r="J15" s="69" t="s">
        <v>336</v>
      </c>
      <c r="K15" s="75">
        <f>K10*K11+(K12*K13)</f>
        <v>1.1694004225369685</v>
      </c>
      <c r="M15" s="94">
        <v>43770</v>
      </c>
      <c r="N15" s="49">
        <v>33.193636562499997</v>
      </c>
      <c r="O15" s="3">
        <f t="shared" si="2"/>
        <v>-1.9842630466424538E-3</v>
      </c>
      <c r="Q15" s="94">
        <v>43770</v>
      </c>
      <c r="R15" s="49">
        <v>145.11247299999999</v>
      </c>
      <c r="S15" s="3">
        <f t="shared" si="3"/>
        <v>5.5869389574333628E-2</v>
      </c>
      <c r="U15" s="94">
        <v>43770</v>
      </c>
      <c r="V15" s="49">
        <v>65.248001000000002</v>
      </c>
      <c r="W15" s="3">
        <f t="shared" si="4"/>
        <v>3.5592130280814649E-2</v>
      </c>
      <c r="Y15" s="94">
        <v>43770</v>
      </c>
      <c r="Z15" s="49">
        <v>90.040001000000004</v>
      </c>
      <c r="AA15" s="3">
        <f t="shared" si="5"/>
        <v>1.3587304267558276E-2</v>
      </c>
    </row>
    <row r="16" spans="2:27" x14ac:dyDescent="0.35">
      <c r="B16" s="94">
        <v>43800</v>
      </c>
      <c r="C16" s="9">
        <v>71.332909000000001</v>
      </c>
      <c r="D16" s="3">
        <f t="shared" si="0"/>
        <v>0.10208299095814333</v>
      </c>
      <c r="F16" s="94">
        <v>43800</v>
      </c>
      <c r="G16" s="9">
        <v>3230.780029</v>
      </c>
      <c r="H16" s="3">
        <f t="shared" si="1"/>
        <v>2.8589818964716907E-2</v>
      </c>
      <c r="M16" s="94">
        <v>43800</v>
      </c>
      <c r="N16" s="49">
        <v>36.82316023456</v>
      </c>
      <c r="O16" s="3">
        <f t="shared" si="2"/>
        <v>0.10934396010590786</v>
      </c>
      <c r="Q16" s="94">
        <v>43800</v>
      </c>
      <c r="R16" s="49">
        <v>151.685181</v>
      </c>
      <c r="S16" s="3">
        <f t="shared" si="3"/>
        <v>4.5293887314566073E-2</v>
      </c>
      <c r="U16" s="94">
        <v>43800</v>
      </c>
      <c r="V16" s="49">
        <v>66.850998000000004</v>
      </c>
      <c r="W16" s="3">
        <f t="shared" si="4"/>
        <v>2.4567756489582093E-2</v>
      </c>
      <c r="Y16" s="94">
        <v>43800</v>
      </c>
      <c r="Z16" s="49">
        <v>92.391998000000001</v>
      </c>
      <c r="AA16" s="3">
        <f t="shared" si="5"/>
        <v>2.6121690069728087E-2</v>
      </c>
    </row>
    <row r="17" spans="2:27" x14ac:dyDescent="0.35">
      <c r="B17" s="94">
        <v>43831</v>
      </c>
      <c r="C17" s="9">
        <v>75.185592999999997</v>
      </c>
      <c r="D17" s="3">
        <f t="shared" si="0"/>
        <v>5.4009910068296696E-2</v>
      </c>
      <c r="F17" s="94">
        <v>43831</v>
      </c>
      <c r="G17" s="9">
        <v>3225.5200199999999</v>
      </c>
      <c r="H17" s="3">
        <f t="shared" si="1"/>
        <v>-1.6280925822201864E-3</v>
      </c>
      <c r="J17" s="96" t="s">
        <v>461</v>
      </c>
      <c r="M17" s="94">
        <v>43831</v>
      </c>
      <c r="N17" s="49">
        <v>37.458467577939999</v>
      </c>
      <c r="O17" s="3">
        <f t="shared" si="2"/>
        <v>1.7252928302002202E-2</v>
      </c>
      <c r="Q17" s="94">
        <v>43831</v>
      </c>
      <c r="R17" s="49">
        <v>163.737289</v>
      </c>
      <c r="S17" s="3">
        <f t="shared" si="3"/>
        <v>7.9454749109604927E-2</v>
      </c>
      <c r="U17" s="94">
        <v>43831</v>
      </c>
      <c r="V17" s="49">
        <v>71.711501999999996</v>
      </c>
      <c r="W17" s="3">
        <f t="shared" si="4"/>
        <v>7.2706528629534972E-2</v>
      </c>
      <c r="Y17" s="94">
        <v>43831</v>
      </c>
      <c r="Z17" s="49">
        <v>100.435997</v>
      </c>
      <c r="AA17" s="3">
        <f t="shared" si="5"/>
        <v>8.70638061101352E-2</v>
      </c>
    </row>
    <row r="18" spans="2:27" x14ac:dyDescent="0.35">
      <c r="B18" s="94">
        <v>43862</v>
      </c>
      <c r="C18" s="9">
        <v>66.404114000000007</v>
      </c>
      <c r="D18" s="3">
        <f t="shared" si="0"/>
        <v>-0.11679736302671695</v>
      </c>
      <c r="F18" s="94">
        <v>43862</v>
      </c>
      <c r="G18" s="9">
        <v>2954.219971</v>
      </c>
      <c r="H18" s="3">
        <f t="shared" si="1"/>
        <v>-8.411048367946572E-2</v>
      </c>
      <c r="J18" t="s">
        <v>332</v>
      </c>
      <c r="K18" s="49">
        <f>SLOPE(O11:O69,$H$11:$H$69)</f>
        <v>0.83604226711015228</v>
      </c>
      <c r="M18" s="94">
        <v>43862</v>
      </c>
      <c r="N18" s="49">
        <v>35.997317344119999</v>
      </c>
      <c r="O18" s="3">
        <f t="shared" si="2"/>
        <v>-3.9007207937158062E-2</v>
      </c>
      <c r="Q18" s="94">
        <v>43862</v>
      </c>
      <c r="R18" s="49">
        <v>155.83079499999999</v>
      </c>
      <c r="S18" s="3">
        <f t="shared" si="3"/>
        <v>-4.8287681128029503E-2</v>
      </c>
      <c r="U18" s="94">
        <v>43862</v>
      </c>
      <c r="V18" s="49">
        <v>66.966498999999999</v>
      </c>
      <c r="W18" s="3">
        <f t="shared" si="4"/>
        <v>-6.6167948901697748E-2</v>
      </c>
      <c r="Y18" s="94">
        <v>43862</v>
      </c>
      <c r="Z18" s="49">
        <v>94.1875</v>
      </c>
      <c r="AA18" s="3">
        <f t="shared" si="5"/>
        <v>-6.2213720047006649E-2</v>
      </c>
    </row>
    <row r="19" spans="2:27" x14ac:dyDescent="0.35">
      <c r="B19" s="94">
        <v>43891</v>
      </c>
      <c r="C19" s="9">
        <v>61.918247000000001</v>
      </c>
      <c r="D19" s="3">
        <f t="shared" si="0"/>
        <v>-6.7554052449220303E-2</v>
      </c>
      <c r="F19" s="94">
        <v>43891</v>
      </c>
      <c r="G19" s="9">
        <v>2584.5900879999999</v>
      </c>
      <c r="H19" s="3">
        <f t="shared" si="1"/>
        <v>-0.12511928245982329</v>
      </c>
      <c r="J19" t="s">
        <v>333</v>
      </c>
      <c r="K19" s="4">
        <v>0.75</v>
      </c>
      <c r="M19" s="94">
        <v>43891</v>
      </c>
      <c r="N19" s="49">
        <v>31.713509375000001</v>
      </c>
      <c r="O19" s="3">
        <f t="shared" si="2"/>
        <v>-0.11900353374026462</v>
      </c>
      <c r="Q19" s="94">
        <v>43891</v>
      </c>
      <c r="R19" s="49">
        <v>152.10917699999999</v>
      </c>
      <c r="S19" s="3">
        <f t="shared" si="3"/>
        <v>-2.3882429657116289E-2</v>
      </c>
      <c r="U19" s="94">
        <v>43891</v>
      </c>
      <c r="V19" s="49">
        <v>58.140498999999998</v>
      </c>
      <c r="W19" s="3">
        <f t="shared" si="4"/>
        <v>-0.13179724387264147</v>
      </c>
      <c r="Y19" s="94">
        <v>43891</v>
      </c>
      <c r="Z19" s="49">
        <v>97.486000000000004</v>
      </c>
      <c r="AA19" s="3">
        <f t="shared" si="5"/>
        <v>3.5020570670205808E-2</v>
      </c>
    </row>
    <row r="20" spans="2:27" x14ac:dyDescent="0.35">
      <c r="B20" s="94">
        <v>43922</v>
      </c>
      <c r="C20" s="9">
        <v>71.538726999999994</v>
      </c>
      <c r="D20" s="3">
        <f t="shared" si="0"/>
        <v>0.15537390779167226</v>
      </c>
      <c r="F20" s="94">
        <v>43922</v>
      </c>
      <c r="G20" s="9">
        <v>2912.429932</v>
      </c>
      <c r="H20" s="3">
        <f t="shared" si="1"/>
        <v>0.12684403825663826</v>
      </c>
      <c r="J20" t="s">
        <v>334</v>
      </c>
      <c r="K20">
        <v>1</v>
      </c>
      <c r="M20" s="94">
        <v>43922</v>
      </c>
      <c r="N20" s="49">
        <v>33.453047031619995</v>
      </c>
      <c r="O20" s="3">
        <f t="shared" si="2"/>
        <v>5.4851629192172791E-2</v>
      </c>
      <c r="Q20" s="94">
        <v>43922</v>
      </c>
      <c r="R20" s="49">
        <v>172.84562700000001</v>
      </c>
      <c r="S20" s="3">
        <f t="shared" si="3"/>
        <v>0.13632609425005326</v>
      </c>
      <c r="U20" s="94">
        <v>43922</v>
      </c>
      <c r="V20" s="49">
        <v>67.432998999999995</v>
      </c>
      <c r="W20" s="3">
        <f t="shared" si="4"/>
        <v>0.15982834959844427</v>
      </c>
      <c r="Y20" s="94">
        <v>43922</v>
      </c>
      <c r="Z20" s="49">
        <v>123.699997</v>
      </c>
      <c r="AA20" s="3">
        <f t="shared" si="5"/>
        <v>0.26890011899144484</v>
      </c>
    </row>
    <row r="21" spans="2:27" x14ac:dyDescent="0.35">
      <c r="B21" s="94">
        <v>43952</v>
      </c>
      <c r="C21" s="9">
        <v>77.416686999999996</v>
      </c>
      <c r="D21" s="3">
        <f t="shared" si="0"/>
        <v>8.2164727365081625E-2</v>
      </c>
      <c r="F21" s="94">
        <v>43952</v>
      </c>
      <c r="G21" s="9">
        <v>3044.3100589999999</v>
      </c>
      <c r="H21" s="3">
        <f t="shared" si="1"/>
        <v>4.5281819676065593E-2</v>
      </c>
      <c r="J21" t="s">
        <v>335</v>
      </c>
      <c r="K21" s="4">
        <v>0.25</v>
      </c>
      <c r="M21" s="94">
        <v>43952</v>
      </c>
      <c r="N21" s="49">
        <v>33.921386094119995</v>
      </c>
      <c r="O21" s="3">
        <f t="shared" si="2"/>
        <v>1.3999892507768452E-2</v>
      </c>
      <c r="Q21" s="94">
        <v>43952</v>
      </c>
      <c r="R21" s="49">
        <v>176.742142</v>
      </c>
      <c r="S21" s="3">
        <f t="shared" si="3"/>
        <v>2.254332416521021E-2</v>
      </c>
      <c r="U21" s="94">
        <v>43952</v>
      </c>
      <c r="V21" s="49">
        <v>71.445999</v>
      </c>
      <c r="W21" s="3">
        <f t="shared" si="4"/>
        <v>5.9510922834679292E-2</v>
      </c>
      <c r="Y21" s="94">
        <v>43952</v>
      </c>
      <c r="Z21" s="49">
        <v>122.1185</v>
      </c>
      <c r="AA21" s="3">
        <f t="shared" si="5"/>
        <v>-1.2784939679505447E-2</v>
      </c>
    </row>
    <row r="22" spans="2:27" x14ac:dyDescent="0.35">
      <c r="B22" s="94">
        <v>43983</v>
      </c>
      <c r="C22" s="9">
        <v>89.067290999999997</v>
      </c>
      <c r="D22" s="3">
        <f t="shared" si="0"/>
        <v>0.15049215423026308</v>
      </c>
      <c r="F22" s="94">
        <v>43983</v>
      </c>
      <c r="G22" s="9">
        <v>3100.290039</v>
      </c>
      <c r="H22" s="3">
        <f t="shared" si="1"/>
        <v>1.8388396357494674E-2</v>
      </c>
      <c r="M22" s="94">
        <v>43983</v>
      </c>
      <c r="N22" s="49">
        <v>35.326414844119995</v>
      </c>
      <c r="O22" s="3">
        <f t="shared" si="2"/>
        <v>4.1420145571337663E-2</v>
      </c>
      <c r="Q22" s="94">
        <v>43983</v>
      </c>
      <c r="R22" s="49">
        <v>196.82926900000001</v>
      </c>
      <c r="S22" s="3">
        <f t="shared" si="3"/>
        <v>0.11365216451886173</v>
      </c>
      <c r="U22" s="94">
        <v>43983</v>
      </c>
      <c r="V22" s="49">
        <v>70.680496000000005</v>
      </c>
      <c r="W22" s="3">
        <f t="shared" si="4"/>
        <v>-1.0714427829611517E-2</v>
      </c>
      <c r="Y22" s="94">
        <v>43983</v>
      </c>
      <c r="Z22" s="49">
        <v>137.94099399999999</v>
      </c>
      <c r="AA22" s="3">
        <f t="shared" si="5"/>
        <v>0.12956672412451842</v>
      </c>
    </row>
    <row r="23" spans="2:27" x14ac:dyDescent="0.35">
      <c r="B23" s="94">
        <v>44013</v>
      </c>
      <c r="C23" s="9">
        <v>103.775108</v>
      </c>
      <c r="D23" s="3">
        <f t="shared" si="0"/>
        <v>0.16513151837075646</v>
      </c>
      <c r="F23" s="94">
        <v>44013</v>
      </c>
      <c r="G23" s="9">
        <v>3271.1201169999999</v>
      </c>
      <c r="H23" s="3">
        <f t="shared" si="1"/>
        <v>5.5101321441235696E-2</v>
      </c>
      <c r="J23" s="69" t="s">
        <v>336</v>
      </c>
      <c r="K23" s="75">
        <f>K18*K19+(K20*K21)</f>
        <v>0.87703170033261424</v>
      </c>
      <c r="M23" s="94">
        <v>44013</v>
      </c>
      <c r="N23" s="49">
        <v>38.997630000000001</v>
      </c>
      <c r="O23" s="3">
        <f t="shared" si="2"/>
        <v>0.1039226644447071</v>
      </c>
      <c r="Q23" s="94">
        <v>44013</v>
      </c>
      <c r="R23" s="49">
        <v>198.28007500000001</v>
      </c>
      <c r="S23" s="3">
        <f t="shared" si="3"/>
        <v>7.370885475371125E-3</v>
      </c>
      <c r="U23" s="94">
        <v>44013</v>
      </c>
      <c r="V23" s="49">
        <v>74.148003000000003</v>
      </c>
      <c r="W23" s="3">
        <f t="shared" si="4"/>
        <v>4.9058894549919296E-2</v>
      </c>
      <c r="Y23" s="94">
        <v>44013</v>
      </c>
      <c r="Z23" s="49">
        <v>158.233994</v>
      </c>
      <c r="AA23" s="3">
        <f t="shared" si="5"/>
        <v>0.14711362743986034</v>
      </c>
    </row>
    <row r="24" spans="2:27" x14ac:dyDescent="0.35">
      <c r="B24" s="94">
        <v>44044</v>
      </c>
      <c r="C24" s="9">
        <v>126.022408</v>
      </c>
      <c r="D24" s="3">
        <f t="shared" si="0"/>
        <v>0.21437992625360591</v>
      </c>
      <c r="F24" s="94">
        <v>44044</v>
      </c>
      <c r="G24" s="9">
        <v>3500.3100589999999</v>
      </c>
      <c r="H24" s="3">
        <f t="shared" si="1"/>
        <v>7.0064667087246457E-2</v>
      </c>
      <c r="M24" s="94">
        <v>44044</v>
      </c>
      <c r="N24" s="49">
        <v>36.370846797060004</v>
      </c>
      <c r="O24" s="3">
        <f t="shared" si="2"/>
        <v>-6.7357508723991599E-2</v>
      </c>
      <c r="Q24" s="94">
        <v>44044</v>
      </c>
      <c r="R24" s="49">
        <v>218.126419</v>
      </c>
      <c r="S24" s="3">
        <f t="shared" si="3"/>
        <v>0.10009247777417873</v>
      </c>
      <c r="U24" s="94">
        <v>44044</v>
      </c>
      <c r="V24" s="49">
        <v>81.709000000000003</v>
      </c>
      <c r="W24" s="3">
        <f t="shared" si="4"/>
        <v>0.10197168762589603</v>
      </c>
      <c r="Y24" s="94">
        <v>44044</v>
      </c>
      <c r="Z24" s="49">
        <v>172.54800399999999</v>
      </c>
      <c r="AA24" s="3">
        <f t="shared" si="5"/>
        <v>9.0461029505455093E-2</v>
      </c>
    </row>
    <row r="25" spans="2:27" x14ac:dyDescent="0.35">
      <c r="B25" s="94">
        <v>44075</v>
      </c>
      <c r="C25" s="9">
        <v>113.305717</v>
      </c>
      <c r="D25" s="3">
        <f t="shared" si="0"/>
        <v>-0.10090817340992242</v>
      </c>
      <c r="F25" s="94">
        <v>44075</v>
      </c>
      <c r="G25" s="9">
        <v>3363</v>
      </c>
      <c r="H25" s="3">
        <f t="shared" si="1"/>
        <v>-3.9227970289931413E-2</v>
      </c>
      <c r="J25" s="96" t="s">
        <v>338</v>
      </c>
      <c r="M25" s="94">
        <v>44075</v>
      </c>
      <c r="N25" s="49">
        <v>39.199696250000002</v>
      </c>
      <c r="O25" s="3">
        <f t="shared" si="2"/>
        <v>7.7777937608223713E-2</v>
      </c>
      <c r="Q25" s="94">
        <v>44075</v>
      </c>
      <c r="R25" s="49">
        <v>203.917145</v>
      </c>
      <c r="S25" s="3">
        <f t="shared" si="3"/>
        <v>-6.5142379658284288E-2</v>
      </c>
      <c r="U25" s="94">
        <v>44075</v>
      </c>
      <c r="V25" s="49">
        <v>73.480002999999996</v>
      </c>
      <c r="W25" s="3">
        <f t="shared" si="4"/>
        <v>-0.10071102326549097</v>
      </c>
      <c r="Y25" s="94">
        <v>44075</v>
      </c>
      <c r="Z25" s="49">
        <v>157.43649300000001</v>
      </c>
      <c r="AA25" s="3">
        <f t="shared" si="5"/>
        <v>-8.7578590593258787E-2</v>
      </c>
    </row>
    <row r="26" spans="2:27" x14ac:dyDescent="0.35">
      <c r="B26" s="94">
        <v>44105</v>
      </c>
      <c r="C26" s="9">
        <v>106.506027</v>
      </c>
      <c r="D26" s="3">
        <f t="shared" si="0"/>
        <v>-6.0011888014441461E-2</v>
      </c>
      <c r="F26" s="94">
        <v>44105</v>
      </c>
      <c r="G26" s="9">
        <v>3269.959961</v>
      </c>
      <c r="H26" s="3">
        <f t="shared" si="1"/>
        <v>-2.766578620279514E-2</v>
      </c>
      <c r="J26" t="s">
        <v>332</v>
      </c>
      <c r="K26" s="49">
        <f>SLOPE(S11:S69,$H$11:$H$69)</f>
        <v>0.88555777628248522</v>
      </c>
      <c r="M26" s="94">
        <v>44105</v>
      </c>
      <c r="N26" s="49">
        <v>38.35655007794</v>
      </c>
      <c r="O26" s="3">
        <f t="shared" si="2"/>
        <v>-2.1508997587194378E-2</v>
      </c>
      <c r="Q26" s="94">
        <v>44105</v>
      </c>
      <c r="R26" s="49">
        <v>196.296829</v>
      </c>
      <c r="S26" s="3">
        <f t="shared" si="3"/>
        <v>-3.7369667959994302E-2</v>
      </c>
      <c r="U26" s="94">
        <v>44105</v>
      </c>
      <c r="V26" s="49">
        <v>81.050499000000002</v>
      </c>
      <c r="W26" s="3">
        <f t="shared" si="4"/>
        <v>0.10302797619646276</v>
      </c>
      <c r="Y26" s="94">
        <v>44105</v>
      </c>
      <c r="Z26" s="49">
        <v>151.80749499999999</v>
      </c>
      <c r="AA26" s="3">
        <f t="shared" si="5"/>
        <v>-3.5754086570005228E-2</v>
      </c>
    </row>
    <row r="27" spans="2:27" x14ac:dyDescent="0.35">
      <c r="B27" s="94">
        <v>44136</v>
      </c>
      <c r="C27" s="9">
        <v>116.475647</v>
      </c>
      <c r="D27" s="3">
        <f t="shared" si="0"/>
        <v>9.3606158081551483E-2</v>
      </c>
      <c r="F27" s="94">
        <v>44136</v>
      </c>
      <c r="G27" s="9">
        <v>3621.6298830000001</v>
      </c>
      <c r="H27" s="3">
        <f t="shared" si="1"/>
        <v>0.10754563548003038</v>
      </c>
      <c r="J27" t="s">
        <v>333</v>
      </c>
      <c r="K27" s="4">
        <v>0.75</v>
      </c>
      <c r="M27" s="94">
        <v>44136</v>
      </c>
      <c r="N27" s="49">
        <v>45.201096249999999</v>
      </c>
      <c r="O27" s="3">
        <f t="shared" si="2"/>
        <v>0.17844530225351263</v>
      </c>
      <c r="Q27" s="94">
        <v>44136</v>
      </c>
      <c r="R27" s="49">
        <v>207.54315199999999</v>
      </c>
      <c r="S27" s="3">
        <f t="shared" si="3"/>
        <v>5.7292433389232178E-2</v>
      </c>
      <c r="U27" s="94">
        <v>44136</v>
      </c>
      <c r="V27" s="49">
        <v>88.037002999999999</v>
      </c>
      <c r="W27" s="3">
        <f t="shared" si="4"/>
        <v>8.6199395268374612E-2</v>
      </c>
      <c r="Y27" s="94">
        <v>44136</v>
      </c>
      <c r="Z27" s="49">
        <v>158.401993</v>
      </c>
      <c r="AA27" s="3">
        <f t="shared" si="5"/>
        <v>4.3439871002416641E-2</v>
      </c>
    </row>
    <row r="28" spans="2:27" x14ac:dyDescent="0.35">
      <c r="B28" s="94">
        <v>44166</v>
      </c>
      <c r="C28" s="9">
        <v>130.04470800000001</v>
      </c>
      <c r="D28" s="3">
        <f t="shared" si="0"/>
        <v>0.11649697897793199</v>
      </c>
      <c r="F28" s="94">
        <v>44166</v>
      </c>
      <c r="G28" s="9">
        <v>3756.070068</v>
      </c>
      <c r="H28" s="3">
        <f t="shared" si="1"/>
        <v>3.7121458940645669E-2</v>
      </c>
      <c r="J28" t="s">
        <v>334</v>
      </c>
      <c r="K28">
        <v>1</v>
      </c>
      <c r="M28" s="94">
        <v>44166</v>
      </c>
      <c r="N28" s="49">
        <v>54.891881874999996</v>
      </c>
      <c r="O28" s="3">
        <f t="shared" si="2"/>
        <v>0.21439271232276802</v>
      </c>
      <c r="Q28" s="94">
        <v>44166</v>
      </c>
      <c r="R28" s="49">
        <v>216.20311000000001</v>
      </c>
      <c r="S28" s="3">
        <f t="shared" si="3"/>
        <v>4.1726059937646109E-2</v>
      </c>
      <c r="U28" s="94">
        <v>44166</v>
      </c>
      <c r="V28" s="49">
        <v>87.594002000000003</v>
      </c>
      <c r="W28" s="3">
        <f t="shared" si="4"/>
        <v>-5.0319863796361997E-3</v>
      </c>
      <c r="Y28" s="94">
        <v>44166</v>
      </c>
      <c r="Z28" s="49">
        <v>162.846497</v>
      </c>
      <c r="AA28" s="3">
        <f t="shared" si="5"/>
        <v>2.8058384341161702E-2</v>
      </c>
    </row>
    <row r="29" spans="2:27" x14ac:dyDescent="0.35">
      <c r="B29" s="94">
        <v>44197</v>
      </c>
      <c r="C29" s="9">
        <v>129.329239</v>
      </c>
      <c r="D29" s="3">
        <f t="shared" si="0"/>
        <v>-5.5017156099885778E-3</v>
      </c>
      <c r="F29" s="94">
        <v>44197</v>
      </c>
      <c r="G29" s="9">
        <v>3714.23999</v>
      </c>
      <c r="H29" s="3">
        <f t="shared" si="1"/>
        <v>-1.1136660723231162E-2</v>
      </c>
      <c r="J29" t="s">
        <v>335</v>
      </c>
      <c r="K29" s="4">
        <v>0.25</v>
      </c>
      <c r="M29" s="94">
        <v>44197</v>
      </c>
      <c r="N29" s="49">
        <v>56.968067499999997</v>
      </c>
      <c r="O29" s="3">
        <f t="shared" si="2"/>
        <v>3.7823181754415014E-2</v>
      </c>
      <c r="Q29" s="94">
        <v>44197</v>
      </c>
      <c r="R29" s="49">
        <v>225.47645600000001</v>
      </c>
      <c r="S29" s="3">
        <f t="shared" si="3"/>
        <v>4.2891825191598842E-2</v>
      </c>
      <c r="U29" s="94">
        <v>44197</v>
      </c>
      <c r="V29" s="49">
        <v>91.787002999999999</v>
      </c>
      <c r="W29" s="3">
        <f t="shared" si="4"/>
        <v>4.7868585796547958E-2</v>
      </c>
      <c r="Y29" s="94">
        <v>44197</v>
      </c>
      <c r="Z29" s="49">
        <v>160.30999800000001</v>
      </c>
      <c r="AA29" s="3">
        <f t="shared" si="5"/>
        <v>-1.5576012052626376E-2</v>
      </c>
    </row>
    <row r="30" spans="2:27" x14ac:dyDescent="0.35">
      <c r="B30" s="94">
        <v>44228</v>
      </c>
      <c r="C30" s="9">
        <v>118.84253699999999</v>
      </c>
      <c r="D30" s="3">
        <f t="shared" si="0"/>
        <v>-8.1085314358031679E-2</v>
      </c>
      <c r="F30" s="94">
        <v>44228</v>
      </c>
      <c r="G30" s="9">
        <v>3811.1499020000001</v>
      </c>
      <c r="H30" s="3">
        <f t="shared" si="1"/>
        <v>2.6091451349647521E-2</v>
      </c>
      <c r="M30" s="94">
        <v>44228</v>
      </c>
      <c r="N30" s="49">
        <v>57.315428124999997</v>
      </c>
      <c r="O30" s="3">
        <f t="shared" si="2"/>
        <v>6.0974619684965869E-3</v>
      </c>
      <c r="Q30" s="94">
        <v>44228</v>
      </c>
      <c r="R30" s="49">
        <v>225.88468900000001</v>
      </c>
      <c r="S30" s="3">
        <f t="shared" si="3"/>
        <v>1.8105349323034314E-3</v>
      </c>
      <c r="U30" s="94">
        <v>44228</v>
      </c>
      <c r="V30" s="49">
        <v>101.843002</v>
      </c>
      <c r="W30" s="3">
        <f t="shared" si="4"/>
        <v>0.10955798393373839</v>
      </c>
      <c r="Y30" s="94">
        <v>44228</v>
      </c>
      <c r="Z30" s="49">
        <v>154.6465</v>
      </c>
      <c r="AA30" s="3">
        <f t="shared" si="5"/>
        <v>-3.5328414139210507E-2</v>
      </c>
    </row>
    <row r="31" spans="2:27" x14ac:dyDescent="0.35">
      <c r="B31" s="94">
        <v>44256</v>
      </c>
      <c r="C31" s="9">
        <v>119.89370700000001</v>
      </c>
      <c r="D31" s="3">
        <f t="shared" si="0"/>
        <v>8.8450652984630729E-3</v>
      </c>
      <c r="F31" s="94">
        <v>44256</v>
      </c>
      <c r="G31" s="9">
        <v>3972.889893</v>
      </c>
      <c r="H31" s="3">
        <f t="shared" si="1"/>
        <v>4.2438632737883841E-2</v>
      </c>
      <c r="J31" s="69" t="s">
        <v>336</v>
      </c>
      <c r="K31" s="75">
        <f>K26*K27+(K28*K29)</f>
        <v>0.91416833221186389</v>
      </c>
      <c r="M31" s="94">
        <v>44256</v>
      </c>
      <c r="N31" s="49">
        <v>56.55122203162</v>
      </c>
      <c r="O31" s="3">
        <f t="shared" si="2"/>
        <v>-1.3333340051361553E-2</v>
      </c>
      <c r="Q31" s="94">
        <v>44256</v>
      </c>
      <c r="R31" s="49">
        <v>229.70777899999999</v>
      </c>
      <c r="S31" s="3">
        <f t="shared" si="3"/>
        <v>1.6924962984100178E-2</v>
      </c>
      <c r="U31" s="94">
        <v>44256</v>
      </c>
      <c r="V31" s="49">
        <v>103.43150300000001</v>
      </c>
      <c r="W31" s="3">
        <f t="shared" si="4"/>
        <v>1.5597546898705961E-2</v>
      </c>
      <c r="Y31" s="94">
        <v>44256</v>
      </c>
      <c r="Z31" s="49">
        <v>154.70399499999999</v>
      </c>
      <c r="AA31" s="3">
        <f t="shared" si="5"/>
        <v>3.7178338985999204E-4</v>
      </c>
    </row>
    <row r="32" spans="2:27" x14ac:dyDescent="0.35">
      <c r="B32" s="94">
        <v>44287</v>
      </c>
      <c r="C32" s="9">
        <v>129.03173799999999</v>
      </c>
      <c r="D32" s="3">
        <f t="shared" si="0"/>
        <v>7.6217770128668816E-2</v>
      </c>
      <c r="F32" s="94">
        <v>44287</v>
      </c>
      <c r="G32" s="9">
        <v>4181.169922</v>
      </c>
      <c r="H32" s="3">
        <f t="shared" si="1"/>
        <v>5.2425321267266289E-2</v>
      </c>
      <c r="M32" s="94">
        <v>44287</v>
      </c>
      <c r="N32" s="49">
        <v>56.872312656620004</v>
      </c>
      <c r="O32" s="3">
        <f t="shared" si="2"/>
        <v>5.6778724396171487E-3</v>
      </c>
      <c r="Q32" s="94">
        <v>44287</v>
      </c>
      <c r="R32" s="49">
        <v>245.69581600000001</v>
      </c>
      <c r="S32" s="3">
        <f t="shared" si="3"/>
        <v>6.9601635040840382E-2</v>
      </c>
      <c r="U32" s="94">
        <v>44287</v>
      </c>
      <c r="V32" s="49">
        <v>120.50599699999999</v>
      </c>
      <c r="W32" s="3">
        <f t="shared" si="4"/>
        <v>0.16508020771969245</v>
      </c>
      <c r="Y32" s="94">
        <v>44287</v>
      </c>
      <c r="Z32" s="49">
        <v>173.371002</v>
      </c>
      <c r="AA32" s="3">
        <f t="shared" si="5"/>
        <v>0.12066273401666194</v>
      </c>
    </row>
    <row r="33" spans="2:27" x14ac:dyDescent="0.35">
      <c r="B33" s="94">
        <v>44317</v>
      </c>
      <c r="C33" s="9">
        <v>122.308266</v>
      </c>
      <c r="D33" s="3">
        <f t="shared" si="0"/>
        <v>-5.210711801773904E-2</v>
      </c>
      <c r="F33" s="94">
        <v>44317</v>
      </c>
      <c r="G33" s="9">
        <v>4204.1098629999997</v>
      </c>
      <c r="H33" s="3">
        <f t="shared" si="1"/>
        <v>5.4864885732810453E-3</v>
      </c>
      <c r="J33" s="96" t="s">
        <v>302</v>
      </c>
      <c r="M33" s="94">
        <v>44317</v>
      </c>
      <c r="N33" s="49">
        <v>56.174481094120004</v>
      </c>
      <c r="O33" s="3">
        <f t="shared" si="2"/>
        <v>-1.2270145698370372E-2</v>
      </c>
      <c r="Q33" s="94">
        <v>44317</v>
      </c>
      <c r="R33" s="49">
        <v>243.26010099999999</v>
      </c>
      <c r="S33" s="3">
        <f t="shared" si="3"/>
        <v>-9.9135387800011188E-3</v>
      </c>
      <c r="U33" s="94">
        <v>44317</v>
      </c>
      <c r="V33" s="49">
        <v>120.578003</v>
      </c>
      <c r="W33" s="3">
        <f t="shared" si="4"/>
        <v>5.9753042829902014E-4</v>
      </c>
      <c r="Y33" s="94">
        <v>44317</v>
      </c>
      <c r="Z33" s="49">
        <v>161.153503</v>
      </c>
      <c r="AA33" s="3">
        <f t="shared" si="5"/>
        <v>-7.0470256611887216E-2</v>
      </c>
    </row>
    <row r="34" spans="2:27" x14ac:dyDescent="0.35">
      <c r="B34" s="94">
        <v>44348</v>
      </c>
      <c r="C34" s="9">
        <v>134.658478</v>
      </c>
      <c r="D34" s="3">
        <f t="shared" si="0"/>
        <v>0.100976102465552</v>
      </c>
      <c r="F34" s="94">
        <v>44348</v>
      </c>
      <c r="G34" s="9">
        <v>4297.5</v>
      </c>
      <c r="H34" s="3">
        <f t="shared" si="1"/>
        <v>2.2214009634219822E-2</v>
      </c>
      <c r="J34" t="s">
        <v>332</v>
      </c>
      <c r="K34" s="49">
        <f>SLOPE(W11:W69,$H$11:$H$69)</f>
        <v>1.0510812620540313</v>
      </c>
      <c r="M34" s="94">
        <v>44348</v>
      </c>
      <c r="N34" s="49">
        <v>56.314046249999997</v>
      </c>
      <c r="O34" s="3">
        <f t="shared" si="2"/>
        <v>2.4844939047350412E-3</v>
      </c>
      <c r="Q34" s="94">
        <v>44348</v>
      </c>
      <c r="R34" s="49">
        <v>264.54394500000001</v>
      </c>
      <c r="S34" s="3">
        <f t="shared" si="3"/>
        <v>8.7494183848916496E-2</v>
      </c>
      <c r="U34" s="94">
        <v>44348</v>
      </c>
      <c r="V34" s="49">
        <v>125.316002</v>
      </c>
      <c r="W34" s="3">
        <f t="shared" si="4"/>
        <v>3.9294057640015811E-2</v>
      </c>
      <c r="Y34" s="94">
        <v>44348</v>
      </c>
      <c r="Z34" s="49">
        <v>172.00799599999999</v>
      </c>
      <c r="AA34" s="3">
        <f t="shared" si="5"/>
        <v>6.7354992587409068E-2</v>
      </c>
    </row>
    <row r="35" spans="2:27" x14ac:dyDescent="0.35">
      <c r="B35" s="94">
        <v>44378</v>
      </c>
      <c r="C35" s="9">
        <v>143.40891999999999</v>
      </c>
      <c r="D35" s="3">
        <f t="shared" si="0"/>
        <v>6.4982481088194044E-2</v>
      </c>
      <c r="F35" s="94">
        <v>44378</v>
      </c>
      <c r="G35" s="9">
        <v>4395.2597660000001</v>
      </c>
      <c r="H35" s="3">
        <f t="shared" si="1"/>
        <v>2.2748054915648686E-2</v>
      </c>
      <c r="J35" t="s">
        <v>333</v>
      </c>
      <c r="K35" s="4">
        <v>0.75</v>
      </c>
      <c r="M35" s="94">
        <v>44378</v>
      </c>
      <c r="N35" s="49">
        <v>55.021370312499997</v>
      </c>
      <c r="O35" s="3">
        <f t="shared" si="2"/>
        <v>-2.2954769255281504E-2</v>
      </c>
      <c r="Q35" s="94">
        <v>44378</v>
      </c>
      <c r="R35" s="49">
        <v>278.22525000000002</v>
      </c>
      <c r="S35" s="3">
        <f t="shared" si="3"/>
        <v>5.1716568300211874E-2</v>
      </c>
      <c r="U35" s="94">
        <v>44378</v>
      </c>
      <c r="V35" s="49">
        <v>135.22099299999999</v>
      </c>
      <c r="W35" s="3">
        <f t="shared" si="4"/>
        <v>7.9040113328862738E-2</v>
      </c>
      <c r="Y35" s="94">
        <v>44378</v>
      </c>
      <c r="Z35" s="49">
        <v>166.379501</v>
      </c>
      <c r="AA35" s="3">
        <f t="shared" si="5"/>
        <v>-3.2722286933684064E-2</v>
      </c>
    </row>
    <row r="36" spans="2:27" x14ac:dyDescent="0.35">
      <c r="B36" s="94">
        <v>44409</v>
      </c>
      <c r="C36" s="9">
        <v>149.27860999999999</v>
      </c>
      <c r="D36" s="3">
        <f t="shared" si="0"/>
        <v>4.0929741329897684E-2</v>
      </c>
      <c r="F36" s="94">
        <v>44409</v>
      </c>
      <c r="G36" s="9">
        <v>4522.6801759999998</v>
      </c>
      <c r="H36" s="3">
        <f t="shared" si="1"/>
        <v>2.8990416217415271E-2</v>
      </c>
      <c r="J36" t="s">
        <v>334</v>
      </c>
      <c r="K36">
        <v>1</v>
      </c>
      <c r="M36" s="94">
        <v>44409</v>
      </c>
      <c r="N36" s="49">
        <v>53.759733906619999</v>
      </c>
      <c r="O36" s="3">
        <f t="shared" si="2"/>
        <v>-2.2929934291247123E-2</v>
      </c>
      <c r="Q36" s="94">
        <v>44409</v>
      </c>
      <c r="R36" s="49">
        <v>294.79711900000001</v>
      </c>
      <c r="S36" s="3">
        <f t="shared" si="3"/>
        <v>5.9562778719760345E-2</v>
      </c>
      <c r="U36" s="94">
        <v>44409</v>
      </c>
      <c r="V36" s="49">
        <v>145.462006</v>
      </c>
      <c r="W36" s="3">
        <f t="shared" si="4"/>
        <v>7.5735377863997755E-2</v>
      </c>
      <c r="Y36" s="94">
        <v>44409</v>
      </c>
      <c r="Z36" s="49">
        <v>173.53950499999999</v>
      </c>
      <c r="AA36" s="3">
        <f t="shared" si="5"/>
        <v>4.3034171619495298E-2</v>
      </c>
    </row>
    <row r="37" spans="2:27" x14ac:dyDescent="0.35">
      <c r="B37" s="94">
        <v>44440</v>
      </c>
      <c r="C37" s="9">
        <v>139.330612</v>
      </c>
      <c r="D37" s="3">
        <f t="shared" si="0"/>
        <v>-6.6640478498560363E-2</v>
      </c>
      <c r="F37" s="94">
        <v>44440</v>
      </c>
      <c r="G37" s="9">
        <v>4307.5400390000004</v>
      </c>
      <c r="H37" s="3">
        <f t="shared" si="1"/>
        <v>-4.7569168861786748E-2</v>
      </c>
      <c r="J37" t="s">
        <v>335</v>
      </c>
      <c r="K37" s="4">
        <v>0.25</v>
      </c>
      <c r="M37" s="94">
        <v>44440</v>
      </c>
      <c r="N37" s="49">
        <v>51.937368281620003</v>
      </c>
      <c r="O37" s="3">
        <f t="shared" si="2"/>
        <v>-3.3898337892918629E-2</v>
      </c>
      <c r="Q37" s="94">
        <v>44440</v>
      </c>
      <c r="R37" s="49">
        <v>275.83245799999997</v>
      </c>
      <c r="S37" s="3">
        <f t="shared" si="3"/>
        <v>-6.4331229098612885E-2</v>
      </c>
      <c r="U37" s="94">
        <v>44440</v>
      </c>
      <c r="V37" s="49">
        <v>133.265503</v>
      </c>
      <c r="W37" s="3">
        <f t="shared" si="4"/>
        <v>-8.3846657525127211E-2</v>
      </c>
      <c r="Y37" s="94">
        <v>44440</v>
      </c>
      <c r="Z37" s="49">
        <v>164.25199900000001</v>
      </c>
      <c r="AA37" s="3">
        <f t="shared" si="5"/>
        <v>-5.3518108167935452E-2</v>
      </c>
    </row>
    <row r="38" spans="2:27" x14ac:dyDescent="0.35">
      <c r="B38" s="94">
        <v>44470</v>
      </c>
      <c r="C38" s="9">
        <v>147.50337200000001</v>
      </c>
      <c r="D38" s="3">
        <f t="shared" si="0"/>
        <v>5.8657317890773442E-2</v>
      </c>
      <c r="F38" s="94">
        <v>44470</v>
      </c>
      <c r="G38" s="9">
        <v>4605.3798829999996</v>
      </c>
      <c r="H38" s="3">
        <f t="shared" si="1"/>
        <v>6.9143836459647501E-2</v>
      </c>
      <c r="M38" s="94">
        <v>44470</v>
      </c>
      <c r="N38" s="49">
        <v>49.156037812500003</v>
      </c>
      <c r="O38" s="3">
        <f t="shared" si="2"/>
        <v>-5.3551624988751656E-2</v>
      </c>
      <c r="Q38" s="94">
        <v>44470</v>
      </c>
      <c r="R38" s="49">
        <v>324.45931999999999</v>
      </c>
      <c r="S38" s="3">
        <f t="shared" si="3"/>
        <v>0.17629129781383468</v>
      </c>
      <c r="U38" s="94">
        <v>44470</v>
      </c>
      <c r="V38" s="49">
        <v>148.27049299999999</v>
      </c>
      <c r="W38" s="3">
        <f t="shared" si="4"/>
        <v>0.11259470502279934</v>
      </c>
      <c r="Y38" s="94">
        <v>44470</v>
      </c>
      <c r="Z38" s="49">
        <v>168.62150600000001</v>
      </c>
      <c r="AA38" s="3">
        <f t="shared" si="5"/>
        <v>2.6602458579514821E-2</v>
      </c>
    </row>
    <row r="39" spans="2:27" x14ac:dyDescent="0.35">
      <c r="B39" s="94">
        <v>44501</v>
      </c>
      <c r="C39" s="9">
        <v>162.765762</v>
      </c>
      <c r="D39" s="3">
        <f t="shared" si="0"/>
        <v>0.10347146504555838</v>
      </c>
      <c r="F39" s="94">
        <v>44501</v>
      </c>
      <c r="G39" s="9">
        <v>4567</v>
      </c>
      <c r="H39" s="3">
        <f t="shared" si="1"/>
        <v>-8.3337062251199745E-3</v>
      </c>
      <c r="J39" s="69" t="s">
        <v>336</v>
      </c>
      <c r="K39" s="75">
        <f>K34*K35+(K36*K37)</f>
        <v>1.0383109465405234</v>
      </c>
      <c r="M39" s="94">
        <v>44501</v>
      </c>
      <c r="N39" s="49">
        <v>50.212399374999997</v>
      </c>
      <c r="O39" s="3">
        <f t="shared" si="2"/>
        <v>2.1489965617842666E-2</v>
      </c>
      <c r="Q39" s="94">
        <v>44501</v>
      </c>
      <c r="R39" s="49">
        <v>323.45153800000003</v>
      </c>
      <c r="S39" s="3">
        <f t="shared" si="3"/>
        <v>-3.1060349876833593E-3</v>
      </c>
      <c r="U39" s="94">
        <v>44501</v>
      </c>
      <c r="V39" s="49">
        <v>142.45199600000001</v>
      </c>
      <c r="W39" s="3">
        <f t="shared" si="4"/>
        <v>-3.9242447248084456E-2</v>
      </c>
      <c r="Y39" s="94">
        <v>44501</v>
      </c>
      <c r="Z39" s="49">
        <v>175.3535</v>
      </c>
      <c r="AA39" s="3">
        <f t="shared" si="5"/>
        <v>3.9923697514598011E-2</v>
      </c>
    </row>
    <row r="40" spans="2:27" x14ac:dyDescent="0.35">
      <c r="B40" s="94">
        <v>44531</v>
      </c>
      <c r="C40" s="9">
        <v>175.10279800000001</v>
      </c>
      <c r="D40" s="3">
        <f t="shared" si="0"/>
        <v>7.5796259903848862E-2</v>
      </c>
      <c r="F40" s="94">
        <v>44531</v>
      </c>
      <c r="G40" s="9">
        <v>4766.1801759999998</v>
      </c>
      <c r="H40" s="3">
        <f t="shared" si="1"/>
        <v>4.361291350996277E-2</v>
      </c>
      <c r="M40" s="94">
        <v>44531</v>
      </c>
      <c r="N40" s="49">
        <v>55.142077031620005</v>
      </c>
      <c r="O40" s="3">
        <f t="shared" si="2"/>
        <v>9.817650058512073E-2</v>
      </c>
      <c r="Q40" s="94">
        <v>44531</v>
      </c>
      <c r="R40" s="49">
        <v>329.65982100000002</v>
      </c>
      <c r="S40" s="3">
        <f t="shared" si="3"/>
        <v>1.9193858339297876E-2</v>
      </c>
      <c r="U40" s="94">
        <v>44531</v>
      </c>
      <c r="V40" s="49">
        <v>144.67950400000001</v>
      </c>
      <c r="W40" s="3">
        <f t="shared" si="4"/>
        <v>1.5636902693873189E-2</v>
      </c>
      <c r="Y40" s="94">
        <v>44531</v>
      </c>
      <c r="Z40" s="49">
        <v>166.716995</v>
      </c>
      <c r="AA40" s="3">
        <f t="shared" si="5"/>
        <v>-4.9251968167159488E-2</v>
      </c>
    </row>
    <row r="41" spans="2:27" x14ac:dyDescent="0.35">
      <c r="B41" s="94">
        <v>44562</v>
      </c>
      <c r="C41" s="9">
        <v>172.35159300000001</v>
      </c>
      <c r="D41" s="3">
        <f t="shared" si="0"/>
        <v>-1.5711941964513865E-2</v>
      </c>
      <c r="F41" s="94">
        <v>44562</v>
      </c>
      <c r="G41" s="9">
        <v>4515.5498049999997</v>
      </c>
      <c r="H41" s="3">
        <f t="shared" si="1"/>
        <v>-5.258516500531063E-2</v>
      </c>
      <c r="J41" s="96" t="s">
        <v>383</v>
      </c>
      <c r="M41" s="94">
        <v>44562</v>
      </c>
      <c r="N41" s="49">
        <v>51.853991094120005</v>
      </c>
      <c r="O41" s="3">
        <f t="shared" si="2"/>
        <v>-5.9629345039261428E-2</v>
      </c>
      <c r="Q41" s="94">
        <v>44562</v>
      </c>
      <c r="R41" s="49">
        <v>304.821594</v>
      </c>
      <c r="S41" s="3">
        <f t="shared" si="3"/>
        <v>-7.534502362057649E-2</v>
      </c>
      <c r="U41" s="94">
        <v>44562</v>
      </c>
      <c r="V41" s="49">
        <v>135.69850199999999</v>
      </c>
      <c r="W41" s="3">
        <f t="shared" si="4"/>
        <v>-6.2075150603225882E-2</v>
      </c>
      <c r="Y41" s="94">
        <v>44562</v>
      </c>
      <c r="Z41" s="49">
        <v>149.57350199999999</v>
      </c>
      <c r="AA41" s="3">
        <f t="shared" si="5"/>
        <v>-0.10282990645314838</v>
      </c>
    </row>
    <row r="42" spans="2:27" x14ac:dyDescent="0.35">
      <c r="B42" s="94">
        <v>44593</v>
      </c>
      <c r="C42" s="9">
        <v>162.825806</v>
      </c>
      <c r="D42" s="3">
        <f t="shared" si="0"/>
        <v>-5.5269503659301833E-2</v>
      </c>
      <c r="F42" s="94">
        <v>44593</v>
      </c>
      <c r="G42" s="9">
        <v>4373.9399409999996</v>
      </c>
      <c r="H42" s="3">
        <f t="shared" si="1"/>
        <v>-3.1360492102910142E-2</v>
      </c>
      <c r="J42" t="s">
        <v>332</v>
      </c>
      <c r="K42" s="49">
        <f>SLOPE(AA11:AA69,$H$11:$H$69)</f>
        <v>1.1619963242112208</v>
      </c>
      <c r="M42" s="94">
        <v>44593</v>
      </c>
      <c r="N42" s="49">
        <v>50.863599375</v>
      </c>
      <c r="O42" s="3">
        <f t="shared" si="2"/>
        <v>-1.9099623736239524E-2</v>
      </c>
      <c r="Q42" s="94">
        <v>44593</v>
      </c>
      <c r="R42" s="49">
        <v>292.87301600000001</v>
      </c>
      <c r="S42" s="3">
        <f t="shared" si="3"/>
        <v>-3.9198594309561963E-2</v>
      </c>
      <c r="U42" s="94">
        <v>44593</v>
      </c>
      <c r="V42" s="49">
        <v>134.891006</v>
      </c>
      <c r="W42" s="3">
        <f t="shared" si="4"/>
        <v>-5.9506625946392777E-3</v>
      </c>
      <c r="Y42" s="94">
        <v>44593</v>
      </c>
      <c r="Z42" s="49">
        <v>153.56300400000001</v>
      </c>
      <c r="AA42" s="3">
        <f t="shared" si="5"/>
        <v>2.6672518505316711E-2</v>
      </c>
    </row>
    <row r="43" spans="2:27" x14ac:dyDescent="0.35">
      <c r="B43" s="94">
        <v>44621</v>
      </c>
      <c r="C43" s="9">
        <v>172.40332000000001</v>
      </c>
      <c r="D43" s="3">
        <f t="shared" si="0"/>
        <v>5.8820614712633557E-2</v>
      </c>
      <c r="F43" s="94">
        <v>44621</v>
      </c>
      <c r="G43" s="9">
        <v>4530.4101559999999</v>
      </c>
      <c r="H43" s="3">
        <f t="shared" si="1"/>
        <v>3.5773288410591908E-2</v>
      </c>
      <c r="J43" t="s">
        <v>333</v>
      </c>
      <c r="K43" s="4">
        <v>0.75</v>
      </c>
      <c r="M43" s="94">
        <v>44621</v>
      </c>
      <c r="N43" s="49">
        <v>49.236530156619999</v>
      </c>
      <c r="O43" s="3">
        <f t="shared" si="2"/>
        <v>-3.1988872953802816E-2</v>
      </c>
      <c r="Q43" s="94">
        <v>44621</v>
      </c>
      <c r="R43" s="49">
        <v>302.82934599999999</v>
      </c>
      <c r="S43" s="3">
        <f t="shared" si="3"/>
        <v>3.3995381807383707E-2</v>
      </c>
      <c r="U43" s="94">
        <v>44621</v>
      </c>
      <c r="V43" s="49">
        <v>139.649506</v>
      </c>
      <c r="W43" s="3">
        <f t="shared" si="4"/>
        <v>3.5276629192015907E-2</v>
      </c>
      <c r="Y43" s="94">
        <v>44621</v>
      </c>
      <c r="Z43" s="49">
        <v>162.99749800000001</v>
      </c>
      <c r="AA43" s="3">
        <f t="shared" si="5"/>
        <v>6.1437284725167185E-2</v>
      </c>
    </row>
    <row r="44" spans="2:27" x14ac:dyDescent="0.35">
      <c r="B44" s="94">
        <v>44652</v>
      </c>
      <c r="C44" s="9">
        <v>155.65765400000001</v>
      </c>
      <c r="D44" s="3">
        <f t="shared" si="0"/>
        <v>-9.7130762911062263E-2</v>
      </c>
      <c r="F44" s="94">
        <v>44652</v>
      </c>
      <c r="G44" s="9">
        <v>4131.9301759999998</v>
      </c>
      <c r="H44" s="3">
        <f t="shared" si="1"/>
        <v>-8.7956711705729274E-2</v>
      </c>
      <c r="J44" t="s">
        <v>334</v>
      </c>
      <c r="K44">
        <v>1</v>
      </c>
      <c r="M44" s="94">
        <v>44652</v>
      </c>
      <c r="N44" s="49">
        <v>47.926666562499996</v>
      </c>
      <c r="O44" s="3">
        <f t="shared" si="2"/>
        <v>-2.6603491146783953E-2</v>
      </c>
      <c r="Q44" s="94">
        <v>44652</v>
      </c>
      <c r="R44" s="49">
        <v>272.58667000000003</v>
      </c>
      <c r="S44" s="3">
        <f t="shared" si="3"/>
        <v>-9.9867058458726676E-2</v>
      </c>
      <c r="U44" s="94">
        <v>44652</v>
      </c>
      <c r="V44" s="49">
        <v>114.966499</v>
      </c>
      <c r="W44" s="3">
        <f t="shared" si="4"/>
        <v>-0.17674969075794655</v>
      </c>
      <c r="Y44" s="94">
        <v>44652</v>
      </c>
      <c r="Z44" s="49">
        <v>124.281502</v>
      </c>
      <c r="AA44" s="3">
        <f t="shared" si="5"/>
        <v>-0.23752509379009001</v>
      </c>
    </row>
    <row r="45" spans="2:27" x14ac:dyDescent="0.35">
      <c r="B45" s="94">
        <v>44682</v>
      </c>
      <c r="C45" s="9">
        <v>146.958969</v>
      </c>
      <c r="D45" s="3">
        <f t="shared" si="0"/>
        <v>-5.5883438921673689E-2</v>
      </c>
      <c r="F45" s="94">
        <v>44682</v>
      </c>
      <c r="G45" s="9">
        <v>4132.1499020000001</v>
      </c>
      <c r="H45" s="3">
        <f t="shared" si="1"/>
        <v>5.3177568506868056E-5</v>
      </c>
      <c r="J45" t="s">
        <v>335</v>
      </c>
      <c r="K45" s="4">
        <v>0.25</v>
      </c>
      <c r="M45" s="94">
        <v>44682</v>
      </c>
      <c r="N45" s="49">
        <v>47.926666562499996</v>
      </c>
      <c r="O45" s="3">
        <f t="shared" si="2"/>
        <v>0</v>
      </c>
      <c r="Q45" s="94">
        <v>44682</v>
      </c>
      <c r="R45" s="49">
        <v>267.03710899999999</v>
      </c>
      <c r="S45" s="3">
        <f t="shared" si="3"/>
        <v>-2.0358886221399031E-2</v>
      </c>
      <c r="U45" s="94">
        <v>44682</v>
      </c>
      <c r="V45" s="49">
        <v>114.039001</v>
      </c>
      <c r="W45" s="3">
        <f t="shared" si="4"/>
        <v>-8.067550182597083E-3</v>
      </c>
      <c r="Y45" s="94">
        <v>44682</v>
      </c>
      <c r="Z45" s="49">
        <v>120.209503</v>
      </c>
      <c r="AA45" s="3">
        <f t="shared" si="5"/>
        <v>-3.2764320791681456E-2</v>
      </c>
    </row>
    <row r="46" spans="2:27" x14ac:dyDescent="0.35">
      <c r="B46" s="94">
        <v>44713</v>
      </c>
      <c r="C46" s="9">
        <v>135.19049100000001</v>
      </c>
      <c r="D46" s="3">
        <f t="shared" si="0"/>
        <v>-8.0080025602248139E-2</v>
      </c>
      <c r="F46" s="94">
        <v>44713</v>
      </c>
      <c r="G46" s="9">
        <v>3785.3798830000001</v>
      </c>
      <c r="H46" s="3">
        <f t="shared" si="1"/>
        <v>-8.3919999812243073E-2</v>
      </c>
      <c r="M46" s="94">
        <v>44713</v>
      </c>
      <c r="N46" s="49">
        <v>40.531456327939999</v>
      </c>
      <c r="O46" s="3">
        <f t="shared" si="2"/>
        <v>-0.15430262033592679</v>
      </c>
      <c r="Q46" s="94">
        <v>44713</v>
      </c>
      <c r="R46" s="49">
        <v>252.85205099999999</v>
      </c>
      <c r="S46" s="3">
        <f t="shared" si="3"/>
        <v>-5.312017514389733E-2</v>
      </c>
      <c r="U46" s="94">
        <v>44713</v>
      </c>
      <c r="V46" s="49">
        <v>109.37249799999999</v>
      </c>
      <c r="W46" s="3">
        <f t="shared" si="4"/>
        <v>-4.0920237454552977E-2</v>
      </c>
      <c r="Y46" s="94">
        <v>44713</v>
      </c>
      <c r="Z46" s="49">
        <v>106.209999</v>
      </c>
      <c r="AA46" s="3">
        <f t="shared" si="5"/>
        <v>-0.11645921204748677</v>
      </c>
    </row>
    <row r="47" spans="2:27" x14ac:dyDescent="0.35">
      <c r="B47" s="94">
        <v>44743</v>
      </c>
      <c r="C47" s="9">
        <v>160.691971</v>
      </c>
      <c r="D47" s="3">
        <f t="shared" si="0"/>
        <v>0.18863368134375658</v>
      </c>
      <c r="F47" s="94">
        <v>44743</v>
      </c>
      <c r="G47" s="9">
        <v>4130.2900390000004</v>
      </c>
      <c r="H47" s="3">
        <f t="shared" si="1"/>
        <v>9.1116391659653351E-2</v>
      </c>
      <c r="J47" s="69" t="s">
        <v>336</v>
      </c>
      <c r="K47" s="75">
        <f>K42*K43+(K44*K45)</f>
        <v>1.1214972431584156</v>
      </c>
      <c r="M47" s="94">
        <v>44743</v>
      </c>
      <c r="N47" s="49">
        <v>43.927166015440001</v>
      </c>
      <c r="O47" s="3">
        <f t="shared" si="2"/>
        <v>8.3779612062920172E-2</v>
      </c>
      <c r="Q47" s="94">
        <v>44743</v>
      </c>
      <c r="R47" s="49">
        <v>276.39166299999999</v>
      </c>
      <c r="S47" s="3">
        <f t="shared" si="3"/>
        <v>9.3096385443201424E-2</v>
      </c>
      <c r="U47" s="94">
        <v>44743</v>
      </c>
      <c r="V47" s="49">
        <v>116.639999</v>
      </c>
      <c r="W47" s="3">
        <f t="shared" si="4"/>
        <v>6.6447243437742554E-2</v>
      </c>
      <c r="Y47" s="94">
        <v>44743</v>
      </c>
      <c r="Z47" s="49">
        <v>134.949997</v>
      </c>
      <c r="AA47" s="3">
        <f t="shared" si="5"/>
        <v>0.27059597279536751</v>
      </c>
    </row>
    <row r="48" spans="2:27" x14ac:dyDescent="0.35">
      <c r="B48" s="94">
        <v>44774</v>
      </c>
      <c r="C48" s="9">
        <v>155.461151</v>
      </c>
      <c r="D48" s="3">
        <f t="shared" si="0"/>
        <v>-3.255184417396928E-2</v>
      </c>
      <c r="F48" s="94">
        <v>44774</v>
      </c>
      <c r="G48" s="9">
        <v>3955</v>
      </c>
      <c r="H48" s="3">
        <f t="shared" si="1"/>
        <v>-4.2440128258508625E-2</v>
      </c>
      <c r="M48" s="94">
        <v>44774</v>
      </c>
      <c r="N48" s="49">
        <v>42.710938437499998</v>
      </c>
      <c r="O48" s="3">
        <f t="shared" si="2"/>
        <v>-2.7687367254980888E-2</v>
      </c>
      <c r="Q48" s="94">
        <v>44774</v>
      </c>
      <c r="R48" s="49">
        <v>257.42019699999997</v>
      </c>
      <c r="S48" s="3">
        <f t="shared" si="3"/>
        <v>-6.8639791063451971E-2</v>
      </c>
      <c r="U48" s="94">
        <v>44774</v>
      </c>
      <c r="V48" s="49">
        <v>109.150002</v>
      </c>
      <c r="W48" s="3">
        <f t="shared" si="4"/>
        <v>-6.421465247097613E-2</v>
      </c>
      <c r="Y48" s="94">
        <v>44774</v>
      </c>
      <c r="Z48" s="49">
        <v>126.769997</v>
      </c>
      <c r="AA48" s="3">
        <f t="shared" si="5"/>
        <v>-6.0615043955873471E-2</v>
      </c>
    </row>
    <row r="49" spans="2:27" x14ac:dyDescent="0.35">
      <c r="B49" s="94">
        <v>44805</v>
      </c>
      <c r="C49" s="9">
        <v>136.84373500000001</v>
      </c>
      <c r="D49" s="3">
        <f t="shared" si="0"/>
        <v>-0.11975606690317109</v>
      </c>
      <c r="F49" s="94">
        <v>44805</v>
      </c>
      <c r="G49" s="9">
        <v>3585.6201169999999</v>
      </c>
      <c r="H49" s="3">
        <f t="shared" si="1"/>
        <v>-9.3395672060682666E-2</v>
      </c>
      <c r="M49" s="94">
        <v>44805</v>
      </c>
      <c r="N49" s="49">
        <v>37.989125625</v>
      </c>
      <c r="O49" s="3">
        <f t="shared" si="2"/>
        <v>-0.11055277606249614</v>
      </c>
      <c r="Q49" s="94">
        <v>44805</v>
      </c>
      <c r="R49" s="49">
        <v>229.77937299999999</v>
      </c>
      <c r="S49" s="3">
        <f t="shared" si="3"/>
        <v>-0.10737628329916937</v>
      </c>
      <c r="U49" s="94">
        <v>44805</v>
      </c>
      <c r="V49" s="49">
        <v>96.150002000000001</v>
      </c>
      <c r="W49" s="3">
        <f t="shared" si="4"/>
        <v>-0.11910215081810072</v>
      </c>
      <c r="Y49" s="94">
        <v>44805</v>
      </c>
      <c r="Z49" s="49">
        <v>113</v>
      </c>
      <c r="AA49" s="3">
        <f t="shared" si="5"/>
        <v>-0.1086218926076018</v>
      </c>
    </row>
    <row r="50" spans="2:27" x14ac:dyDescent="0.35">
      <c r="B50" s="94">
        <v>44835</v>
      </c>
      <c r="C50" s="9">
        <v>151.83517499999999</v>
      </c>
      <c r="D50" s="3">
        <f t="shared" si="0"/>
        <v>0.10955152605269047</v>
      </c>
      <c r="F50" s="94">
        <v>44835</v>
      </c>
      <c r="G50" s="9">
        <v>3871.9799800000001</v>
      </c>
      <c r="H50" s="3">
        <f t="shared" si="1"/>
        <v>7.9863413762746971E-2</v>
      </c>
      <c r="M50" s="94">
        <v>44835</v>
      </c>
      <c r="N50" s="49">
        <v>42.78830601544</v>
      </c>
      <c r="O50" s="3">
        <f t="shared" si="2"/>
        <v>0.12633037248116441</v>
      </c>
      <c r="Q50" s="94">
        <v>44835</v>
      </c>
      <c r="R50" s="49">
        <v>229.01968400000001</v>
      </c>
      <c r="S50" s="3">
        <f t="shared" si="3"/>
        <v>-3.3061670857634784E-3</v>
      </c>
      <c r="U50" s="94">
        <v>44835</v>
      </c>
      <c r="V50" s="49">
        <v>94.660004000000001</v>
      </c>
      <c r="W50" s="3">
        <f t="shared" si="4"/>
        <v>-1.549659874162046E-2</v>
      </c>
      <c r="Y50" s="94">
        <v>44835</v>
      </c>
      <c r="Z50" s="49">
        <v>102.44000200000001</v>
      </c>
      <c r="AA50" s="3">
        <f t="shared" si="5"/>
        <v>-9.345130973451321E-2</v>
      </c>
    </row>
    <row r="51" spans="2:27" x14ac:dyDescent="0.35">
      <c r="B51" s="94">
        <v>44866</v>
      </c>
      <c r="C51" s="9">
        <v>146.577271</v>
      </c>
      <c r="D51" s="3">
        <f t="shared" si="0"/>
        <v>-3.4629024532688124E-2</v>
      </c>
      <c r="F51" s="94">
        <v>44866</v>
      </c>
      <c r="G51" s="9">
        <v>4080.110107</v>
      </c>
      <c r="H51" s="3">
        <f t="shared" si="1"/>
        <v>5.3752893371106669E-2</v>
      </c>
      <c r="M51" s="94">
        <v>44866</v>
      </c>
      <c r="N51" s="49">
        <v>44.805262734560003</v>
      </c>
      <c r="O51" s="3">
        <f t="shared" si="2"/>
        <v>4.7138036228688174E-2</v>
      </c>
      <c r="Q51" s="94">
        <v>44866</v>
      </c>
      <c r="R51" s="49">
        <v>251.72137499999999</v>
      </c>
      <c r="S51" s="3">
        <f t="shared" si="3"/>
        <v>9.912550136956777E-2</v>
      </c>
      <c r="U51" s="94">
        <v>44866</v>
      </c>
      <c r="V51" s="49">
        <v>101.449997</v>
      </c>
      <c r="W51" s="3">
        <f t="shared" si="4"/>
        <v>7.1730326569603653E-2</v>
      </c>
      <c r="Y51" s="94">
        <v>44866</v>
      </c>
      <c r="Z51" s="49">
        <v>96.540001000000004</v>
      </c>
      <c r="AA51" s="3">
        <f t="shared" si="5"/>
        <v>-5.759469821173957E-2</v>
      </c>
    </row>
    <row r="52" spans="2:27" x14ac:dyDescent="0.35">
      <c r="B52" s="94">
        <v>44896</v>
      </c>
      <c r="C52" s="9">
        <v>128.86833200000001</v>
      </c>
      <c r="D52" s="3">
        <f t="shared" si="0"/>
        <v>-0.12081640543027972</v>
      </c>
      <c r="F52" s="94">
        <v>44896</v>
      </c>
      <c r="G52" s="9">
        <v>3839.5</v>
      </c>
      <c r="H52" s="3">
        <f t="shared" si="1"/>
        <v>-5.8971473977430078E-2</v>
      </c>
      <c r="M52" s="94">
        <v>44896</v>
      </c>
      <c r="N52" s="49">
        <v>39.834905312499998</v>
      </c>
      <c r="O52" s="3">
        <f t="shared" si="2"/>
        <v>-0.11093244674193548</v>
      </c>
      <c r="Q52" s="94">
        <v>44896</v>
      </c>
      <c r="R52" s="49">
        <v>237.27345299999999</v>
      </c>
      <c r="S52" s="3">
        <f t="shared" si="3"/>
        <v>-5.7396484505934375E-2</v>
      </c>
      <c r="U52" s="94">
        <v>44896</v>
      </c>
      <c r="V52" s="49">
        <v>88.730002999999996</v>
      </c>
      <c r="W52" s="3">
        <f t="shared" si="4"/>
        <v>-0.1253819061226783</v>
      </c>
      <c r="Y52" s="94">
        <v>44896</v>
      </c>
      <c r="Z52" s="49">
        <v>84</v>
      </c>
      <c r="AA52" s="3">
        <f t="shared" si="5"/>
        <v>-0.12989435332614097</v>
      </c>
    </row>
    <row r="53" spans="2:27" x14ac:dyDescent="0.35">
      <c r="B53" s="94">
        <v>44927</v>
      </c>
      <c r="C53" s="9">
        <v>143.11099200000001</v>
      </c>
      <c r="D53" s="3">
        <f t="shared" si="0"/>
        <v>0.11052102389282115</v>
      </c>
      <c r="F53" s="94">
        <v>44927</v>
      </c>
      <c r="G53" s="9">
        <v>4076.6000979999999</v>
      </c>
      <c r="H53" s="3">
        <f t="shared" si="1"/>
        <v>6.1752857924208815E-2</v>
      </c>
      <c r="M53" s="94">
        <v>44927</v>
      </c>
      <c r="N53" s="49">
        <v>44.505525156619996</v>
      </c>
      <c r="O53" s="3">
        <f t="shared" si="2"/>
        <v>0.11724942754299406</v>
      </c>
      <c r="Q53" s="94">
        <v>44927</v>
      </c>
      <c r="R53" s="49">
        <v>245.17860400000001</v>
      </c>
      <c r="S53" s="3">
        <f t="shared" si="3"/>
        <v>3.3316626449567455E-2</v>
      </c>
      <c r="U53" s="94">
        <v>44927</v>
      </c>
      <c r="V53" s="49">
        <v>99.870002999999997</v>
      </c>
      <c r="W53" s="3">
        <f t="shared" si="4"/>
        <v>0.1255494153426322</v>
      </c>
      <c r="Y53" s="94">
        <v>44927</v>
      </c>
      <c r="Z53" s="49">
        <v>103.129997</v>
      </c>
      <c r="AA53" s="3">
        <f t="shared" si="5"/>
        <v>0.22773805952380966</v>
      </c>
    </row>
    <row r="54" spans="2:27" x14ac:dyDescent="0.35">
      <c r="B54" s="94">
        <v>44958</v>
      </c>
      <c r="C54" s="9">
        <v>146.20550499999999</v>
      </c>
      <c r="D54" s="3">
        <f t="shared" si="0"/>
        <v>2.1623167841642754E-2</v>
      </c>
      <c r="F54" s="94">
        <v>44958</v>
      </c>
      <c r="G54" s="9">
        <v>3970.1499020000001</v>
      </c>
      <c r="H54" s="3">
        <f t="shared" si="1"/>
        <v>-2.6112494098262107E-2</v>
      </c>
      <c r="M54" s="94">
        <v>44958</v>
      </c>
      <c r="N54" s="49">
        <v>43.92564554706</v>
      </c>
      <c r="O54" s="3">
        <f t="shared" si="2"/>
        <v>-1.3029384722893056E-2</v>
      </c>
      <c r="Q54" s="94">
        <v>44958</v>
      </c>
      <c r="R54" s="49">
        <v>246.77148399999999</v>
      </c>
      <c r="S54" s="3">
        <f t="shared" si="3"/>
        <v>6.4968148688862026E-3</v>
      </c>
      <c r="U54" s="94">
        <v>44958</v>
      </c>
      <c r="V54" s="49">
        <v>90.300003000000004</v>
      </c>
      <c r="W54" s="3">
        <f t="shared" si="4"/>
        <v>-9.5824569065047438E-2</v>
      </c>
      <c r="Y54" s="94">
        <v>44958</v>
      </c>
      <c r="Z54" s="49">
        <v>94.230002999999996</v>
      </c>
      <c r="AA54" s="3">
        <f t="shared" si="5"/>
        <v>-8.6298790447943197E-2</v>
      </c>
    </row>
    <row r="55" spans="2:27" x14ac:dyDescent="0.35">
      <c r="B55" s="94">
        <v>44986</v>
      </c>
      <c r="C55" s="9">
        <v>163.802322</v>
      </c>
      <c r="D55" s="3">
        <f t="shared" si="0"/>
        <v>0.12035673348961806</v>
      </c>
      <c r="F55" s="94">
        <v>44986</v>
      </c>
      <c r="G55" s="9">
        <v>4109.3100590000004</v>
      </c>
      <c r="H55" s="3">
        <f t="shared" si="1"/>
        <v>3.5051612769053664E-2</v>
      </c>
      <c r="M55" s="94">
        <v>44986</v>
      </c>
      <c r="N55" s="49">
        <v>46.39012015662</v>
      </c>
      <c r="O55" s="3">
        <f t="shared" si="2"/>
        <v>5.6105597968268306E-2</v>
      </c>
      <c r="Q55" s="94">
        <v>44986</v>
      </c>
      <c r="R55" s="49">
        <v>285.95306399999998</v>
      </c>
      <c r="S55" s="3">
        <f t="shared" si="3"/>
        <v>0.15877677341357632</v>
      </c>
      <c r="U55" s="94">
        <v>44986</v>
      </c>
      <c r="V55" s="49">
        <v>104</v>
      </c>
      <c r="W55" s="3">
        <f t="shared" si="4"/>
        <v>0.15171646229070435</v>
      </c>
      <c r="Y55" s="94">
        <v>44986</v>
      </c>
      <c r="Z55" s="49">
        <v>103.290001</v>
      </c>
      <c r="AA55" s="3">
        <f t="shared" si="5"/>
        <v>9.6147699369170114E-2</v>
      </c>
    </row>
    <row r="56" spans="2:27" x14ac:dyDescent="0.35">
      <c r="B56" s="94">
        <v>45017</v>
      </c>
      <c r="C56" s="9">
        <v>168.55049099999999</v>
      </c>
      <c r="D56" s="3">
        <f t="shared" si="0"/>
        <v>2.8987189815294467E-2</v>
      </c>
      <c r="F56" s="94">
        <v>45017</v>
      </c>
      <c r="G56" s="9">
        <v>4169.4799800000001</v>
      </c>
      <c r="H56" s="3">
        <f t="shared" si="1"/>
        <v>1.4642341448102281E-2</v>
      </c>
      <c r="M56" s="94">
        <v>45017</v>
      </c>
      <c r="N56" s="49">
        <v>47.752324297059999</v>
      </c>
      <c r="O56" s="3">
        <f t="shared" si="2"/>
        <v>2.9364100283443939E-2</v>
      </c>
      <c r="Q56" s="94">
        <v>45017</v>
      </c>
      <c r="R56" s="49">
        <v>304.75878899999998</v>
      </c>
      <c r="S56" s="3">
        <f t="shared" si="3"/>
        <v>6.5765076047585191E-2</v>
      </c>
      <c r="U56" s="94">
        <v>45017</v>
      </c>
      <c r="V56" s="49">
        <v>108.220001</v>
      </c>
      <c r="W56" s="3">
        <f t="shared" si="4"/>
        <v>4.0576932692307555E-2</v>
      </c>
      <c r="Y56" s="94">
        <v>45017</v>
      </c>
      <c r="Z56" s="49">
        <v>105.449997</v>
      </c>
      <c r="AA56" s="3">
        <f t="shared" si="5"/>
        <v>2.0911956424513933E-2</v>
      </c>
    </row>
    <row r="57" spans="2:27" x14ac:dyDescent="0.35">
      <c r="B57" s="94">
        <v>45047</v>
      </c>
      <c r="C57" s="9">
        <v>176.07011399999999</v>
      </c>
      <c r="D57" s="3">
        <f t="shared" si="0"/>
        <v>4.4613474309012746E-2</v>
      </c>
      <c r="F57" s="94">
        <v>45047</v>
      </c>
      <c r="G57" s="9">
        <v>4179.830078</v>
      </c>
      <c r="H57" s="3">
        <f t="shared" si="1"/>
        <v>2.4823474509163557E-3</v>
      </c>
      <c r="M57" s="94">
        <v>45047</v>
      </c>
      <c r="N57" s="49">
        <v>52.053681249999997</v>
      </c>
      <c r="O57" s="3">
        <f t="shared" si="2"/>
        <v>9.0076389291166237E-2</v>
      </c>
      <c r="Q57" s="94">
        <v>45047</v>
      </c>
      <c r="R57" s="49">
        <v>325.71679699999999</v>
      </c>
      <c r="S57" s="3">
        <f t="shared" si="3"/>
        <v>6.8769166818024141E-2</v>
      </c>
      <c r="U57" s="94">
        <v>45047</v>
      </c>
      <c r="V57" s="49">
        <v>123.370003</v>
      </c>
      <c r="W57" s="3">
        <f t="shared" si="4"/>
        <v>0.1399926248383605</v>
      </c>
      <c r="Y57" s="94">
        <v>45047</v>
      </c>
      <c r="Z57" s="49">
        <v>120.58000199999999</v>
      </c>
      <c r="AA57" s="3">
        <f t="shared" si="5"/>
        <v>0.14348037392547286</v>
      </c>
    </row>
    <row r="58" spans="2:27" x14ac:dyDescent="0.35">
      <c r="B58" s="94">
        <v>45078</v>
      </c>
      <c r="C58" s="9">
        <v>192.945313</v>
      </c>
      <c r="D58" s="3">
        <f t="shared" si="0"/>
        <v>9.5843630793582602E-2</v>
      </c>
      <c r="F58" s="94">
        <v>45078</v>
      </c>
      <c r="G58" s="9">
        <v>4450.3798829999996</v>
      </c>
      <c r="H58" s="3">
        <f t="shared" si="1"/>
        <v>6.4727464980933958E-2</v>
      </c>
      <c r="M58" s="94">
        <v>45078</v>
      </c>
      <c r="N58" s="49">
        <v>52.636916874999997</v>
      </c>
      <c r="O58" s="3">
        <f t="shared" si="2"/>
        <v>1.1204502947618211E-2</v>
      </c>
      <c r="Q58" s="94">
        <v>45078</v>
      </c>
      <c r="R58" s="49">
        <v>338.50622600000003</v>
      </c>
      <c r="S58" s="3">
        <f t="shared" si="3"/>
        <v>3.9265488049116559E-2</v>
      </c>
      <c r="U58" s="94">
        <v>45078</v>
      </c>
      <c r="V58" s="49">
        <v>120.970001</v>
      </c>
      <c r="W58" s="3">
        <f t="shared" si="4"/>
        <v>-1.945369167252109E-2</v>
      </c>
      <c r="Y58" s="94">
        <v>45078</v>
      </c>
      <c r="Z58" s="49">
        <v>130.36000100000001</v>
      </c>
      <c r="AA58" s="3">
        <f t="shared" si="5"/>
        <v>8.1107968467275526E-2</v>
      </c>
    </row>
    <row r="59" spans="2:27" x14ac:dyDescent="0.35">
      <c r="B59" s="94">
        <v>45108</v>
      </c>
      <c r="C59" s="9">
        <v>195.41220100000001</v>
      </c>
      <c r="D59" s="3">
        <f t="shared" si="0"/>
        <v>1.2785425889044522E-2</v>
      </c>
      <c r="F59" s="94">
        <v>45108</v>
      </c>
      <c r="G59" s="9">
        <v>4588.9599609999996</v>
      </c>
      <c r="H59" s="3">
        <f t="shared" si="1"/>
        <v>3.113893232561149E-2</v>
      </c>
      <c r="M59" s="94">
        <v>45108</v>
      </c>
      <c r="N59" s="49">
        <v>51.141157187499999</v>
      </c>
      <c r="O59" s="3">
        <f t="shared" si="2"/>
        <v>-2.841655203803195E-2</v>
      </c>
      <c r="Q59" s="94">
        <v>45108</v>
      </c>
      <c r="R59" s="49">
        <v>333.91381799999999</v>
      </c>
      <c r="S59" s="3">
        <f t="shared" si="3"/>
        <v>-1.3566686953639717E-2</v>
      </c>
      <c r="U59" s="94">
        <v>45108</v>
      </c>
      <c r="V59" s="49">
        <v>133.11000100000001</v>
      </c>
      <c r="W59" s="3">
        <f t="shared" si="4"/>
        <v>0.10035545920182321</v>
      </c>
      <c r="Y59" s="94">
        <v>45108</v>
      </c>
      <c r="Z59" s="49">
        <v>133.679993</v>
      </c>
      <c r="AA59" s="3">
        <f t="shared" si="5"/>
        <v>2.5467873385487172E-2</v>
      </c>
    </row>
    <row r="60" spans="2:27" x14ac:dyDescent="0.35">
      <c r="B60" s="94">
        <v>45139</v>
      </c>
      <c r="C60" s="9">
        <v>186.877533</v>
      </c>
      <c r="D60" s="3">
        <f t="shared" si="0"/>
        <v>-4.3675205316376364E-2</v>
      </c>
      <c r="F60" s="94">
        <v>45139</v>
      </c>
      <c r="G60" s="9">
        <v>4507.6601559999999</v>
      </c>
      <c r="H60" s="3">
        <f t="shared" si="1"/>
        <v>-1.7716390138710958E-2</v>
      </c>
      <c r="M60" s="94">
        <v>45139</v>
      </c>
      <c r="N60" s="49">
        <v>49.016380156620002</v>
      </c>
      <c r="O60" s="3">
        <f t="shared" si="2"/>
        <v>-4.1547300603501758E-2</v>
      </c>
      <c r="Q60" s="94">
        <v>45139</v>
      </c>
      <c r="R60" s="49">
        <v>325.80258199999997</v>
      </c>
      <c r="S60" s="3">
        <f t="shared" si="3"/>
        <v>-2.429140563449228E-2</v>
      </c>
      <c r="U60" s="94">
        <v>45139</v>
      </c>
      <c r="V60" s="49">
        <v>137.35000600000001</v>
      </c>
      <c r="W60" s="3">
        <f t="shared" si="4"/>
        <v>3.185339169218393E-2</v>
      </c>
      <c r="Y60" s="94">
        <v>45139</v>
      </c>
      <c r="Z60" s="49">
        <v>138.009995</v>
      </c>
      <c r="AA60" s="3">
        <f t="shared" si="5"/>
        <v>3.2390800618907978E-2</v>
      </c>
    </row>
    <row r="61" spans="2:27" x14ac:dyDescent="0.35">
      <c r="B61" s="94">
        <v>45170</v>
      </c>
      <c r="C61" s="9">
        <v>170.535538</v>
      </c>
      <c r="D61" s="3">
        <f t="shared" si="0"/>
        <v>-8.7447617365539632E-2</v>
      </c>
      <c r="F61" s="94">
        <v>45170</v>
      </c>
      <c r="G61" s="9">
        <v>4288.0498049999997</v>
      </c>
      <c r="H61" s="3">
        <f t="shared" si="1"/>
        <v>-4.8719367343539433E-2</v>
      </c>
      <c r="M61" s="94">
        <v>45170</v>
      </c>
      <c r="N61" s="49">
        <v>50.115401562499997</v>
      </c>
      <c r="O61" s="3">
        <f t="shared" si="2"/>
        <v>2.2421513020103534E-2</v>
      </c>
      <c r="Q61" s="94">
        <v>45170</v>
      </c>
      <c r="R61" s="49">
        <v>314.52877799999999</v>
      </c>
      <c r="S61" s="3">
        <f t="shared" si="3"/>
        <v>-3.4603175735421265E-2</v>
      </c>
      <c r="U61" s="94">
        <v>45170</v>
      </c>
      <c r="V61" s="49">
        <v>131.85000600000001</v>
      </c>
      <c r="W61" s="3">
        <f t="shared" si="4"/>
        <v>-4.0043682269660819E-2</v>
      </c>
      <c r="Y61" s="94">
        <v>45170</v>
      </c>
      <c r="Z61" s="49">
        <v>127.120003</v>
      </c>
      <c r="AA61" s="3">
        <f t="shared" si="5"/>
        <v>-7.8907270448057121E-2</v>
      </c>
    </row>
    <row r="62" spans="2:27" x14ac:dyDescent="0.35">
      <c r="B62" s="94">
        <v>45200</v>
      </c>
      <c r="C62" s="9">
        <v>170.09726000000001</v>
      </c>
      <c r="D62" s="3">
        <f t="shared" si="0"/>
        <v>-2.5700097770823271E-3</v>
      </c>
      <c r="F62" s="94">
        <v>45200</v>
      </c>
      <c r="G62" s="9">
        <v>4193.7998049999997</v>
      </c>
      <c r="H62" s="3">
        <f t="shared" si="1"/>
        <v>-2.1979688736381231E-2</v>
      </c>
      <c r="M62" s="94">
        <v>45200</v>
      </c>
      <c r="N62" s="49">
        <v>49.272686094120004</v>
      </c>
      <c r="O62" s="3">
        <f t="shared" si="2"/>
        <v>-1.6815498671182483E-2</v>
      </c>
      <c r="Q62" s="94">
        <v>45200</v>
      </c>
      <c r="R62" s="49">
        <v>336.80230699999998</v>
      </c>
      <c r="S62" s="3">
        <f t="shared" si="3"/>
        <v>7.0815551892043471E-2</v>
      </c>
      <c r="U62" s="94">
        <v>45200</v>
      </c>
      <c r="V62" s="49">
        <v>125.300003</v>
      </c>
      <c r="W62" s="3">
        <f t="shared" si="4"/>
        <v>-4.9677684504618069E-2</v>
      </c>
      <c r="Y62" s="94">
        <v>45200</v>
      </c>
      <c r="Z62" s="49">
        <v>133.08999600000001</v>
      </c>
      <c r="AA62" s="3">
        <f t="shared" si="5"/>
        <v>4.6963442881605477E-2</v>
      </c>
    </row>
    <row r="63" spans="2:27" x14ac:dyDescent="0.35">
      <c r="B63" s="94">
        <v>45231</v>
      </c>
      <c r="C63" s="9">
        <v>189.20169100000001</v>
      </c>
      <c r="D63" s="3">
        <f t="shared" si="0"/>
        <v>0.11231474863263524</v>
      </c>
      <c r="F63" s="94">
        <v>45231</v>
      </c>
      <c r="G63" s="9">
        <v>4567.7998049999997</v>
      </c>
      <c r="H63" s="3">
        <f t="shared" si="1"/>
        <v>8.9179268775324783E-2</v>
      </c>
      <c r="M63" s="94">
        <v>45231</v>
      </c>
      <c r="N63" s="49">
        <v>53.618110625</v>
      </c>
      <c r="O63" s="3">
        <f t="shared" si="2"/>
        <v>8.8191346470931631E-2</v>
      </c>
      <c r="Q63" s="94">
        <v>45231</v>
      </c>
      <c r="R63" s="49">
        <v>377.44451900000001</v>
      </c>
      <c r="S63" s="3">
        <f t="shared" si="3"/>
        <v>0.12067082426487064</v>
      </c>
      <c r="U63" s="94">
        <v>45231</v>
      </c>
      <c r="V63" s="49">
        <v>133.91999799999999</v>
      </c>
      <c r="W63" s="3">
        <f t="shared" si="4"/>
        <v>6.8794850707226241E-2</v>
      </c>
      <c r="Y63" s="94">
        <v>45231</v>
      </c>
      <c r="Z63" s="49">
        <v>146.08999600000001</v>
      </c>
      <c r="AA63" s="3">
        <f t="shared" si="5"/>
        <v>9.7678265765369865E-2</v>
      </c>
    </row>
    <row r="64" spans="2:27" x14ac:dyDescent="0.35">
      <c r="B64" s="94">
        <v>45261</v>
      </c>
      <c r="C64" s="9">
        <v>192.02418499999999</v>
      </c>
      <c r="D64" s="3">
        <f t="shared" si="0"/>
        <v>1.4917911066661516E-2</v>
      </c>
      <c r="F64" s="94">
        <v>45261</v>
      </c>
      <c r="G64" s="9">
        <v>4769.830078</v>
      </c>
      <c r="H64" s="3">
        <f t="shared" si="1"/>
        <v>4.4229231057555163E-2</v>
      </c>
      <c r="M64" s="94">
        <v>45261</v>
      </c>
      <c r="N64" s="49">
        <v>57.8162346875</v>
      </c>
      <c r="O64" s="3">
        <f t="shared" si="2"/>
        <v>7.8296754838328431E-2</v>
      </c>
      <c r="Q64" s="94">
        <v>45261</v>
      </c>
      <c r="R64" s="49">
        <v>375.34588600000001</v>
      </c>
      <c r="S64" s="3">
        <f t="shared" si="3"/>
        <v>-5.5601098820036166E-3</v>
      </c>
      <c r="U64" s="94">
        <v>45261</v>
      </c>
      <c r="V64" s="49">
        <v>140.929993</v>
      </c>
      <c r="W64" s="3">
        <f t="shared" si="4"/>
        <v>5.2344646839077802E-2</v>
      </c>
      <c r="Y64" s="94">
        <v>45261</v>
      </c>
      <c r="Z64" s="49">
        <v>151.94000199999999</v>
      </c>
      <c r="AA64" s="3">
        <f t="shared" si="5"/>
        <v>4.0043850778118895E-2</v>
      </c>
    </row>
    <row r="65" spans="2:27" x14ac:dyDescent="0.35">
      <c r="B65" s="94">
        <v>45292</v>
      </c>
      <c r="C65" s="9">
        <v>183.91554300000001</v>
      </c>
      <c r="D65" s="3">
        <f t="shared" si="0"/>
        <v>-4.2227191330092007E-2</v>
      </c>
      <c r="F65" s="94">
        <v>45292</v>
      </c>
      <c r="G65" s="9">
        <v>4845.6499020000001</v>
      </c>
      <c r="H65" s="3">
        <f t="shared" si="1"/>
        <v>1.5895707553547078E-2</v>
      </c>
      <c r="M65" s="94">
        <v>45292</v>
      </c>
      <c r="N65" s="49">
        <v>53.798000000000002</v>
      </c>
      <c r="O65" s="3">
        <f t="shared" si="2"/>
        <v>-6.9500110292875061E-2</v>
      </c>
      <c r="Q65" s="94">
        <v>45292</v>
      </c>
      <c r="R65" s="49">
        <v>396.84613000000002</v>
      </c>
      <c r="S65" s="3">
        <f t="shared" si="3"/>
        <v>5.7281150005731085E-2</v>
      </c>
      <c r="U65" s="94">
        <v>45292</v>
      </c>
      <c r="V65" s="49">
        <v>141.800003</v>
      </c>
      <c r="W65" s="3">
        <f t="shared" si="4"/>
        <v>6.1733487775026408E-3</v>
      </c>
      <c r="Y65" s="94">
        <v>45292</v>
      </c>
      <c r="Z65" s="49">
        <v>155.199997</v>
      </c>
      <c r="AA65" s="3">
        <f t="shared" si="5"/>
        <v>2.1455804640571285E-2</v>
      </c>
    </row>
    <row r="66" spans="2:27" x14ac:dyDescent="0.35">
      <c r="B66" s="94">
        <v>45323</v>
      </c>
      <c r="C66" s="9">
        <v>180.27513099999999</v>
      </c>
      <c r="D66" s="3">
        <f t="shared" si="0"/>
        <v>-1.9793933349070092E-2</v>
      </c>
      <c r="F66" s="94">
        <v>45323</v>
      </c>
      <c r="G66" s="9">
        <v>5096.2700199999999</v>
      </c>
      <c r="H66" s="3">
        <f t="shared" si="1"/>
        <v>5.1720640795068329E-2</v>
      </c>
      <c r="M66" s="94">
        <v>45323</v>
      </c>
      <c r="N66" s="49">
        <v>54.316000000000003</v>
      </c>
      <c r="O66" s="3">
        <f t="shared" si="2"/>
        <v>9.6286107290233236E-3</v>
      </c>
      <c r="Q66" s="94">
        <v>45323</v>
      </c>
      <c r="R66" s="49">
        <v>412.87649499999998</v>
      </c>
      <c r="S66" s="3">
        <f t="shared" si="3"/>
        <v>4.0394409289061128E-2</v>
      </c>
      <c r="U66" s="94">
        <v>45323</v>
      </c>
      <c r="V66" s="49">
        <v>139.779999</v>
      </c>
      <c r="W66" s="3">
        <f t="shared" si="4"/>
        <v>-1.4245443986344641E-2</v>
      </c>
      <c r="Y66" s="94">
        <v>45323</v>
      </c>
      <c r="Z66" s="49">
        <v>176.759995</v>
      </c>
      <c r="AA66" s="3">
        <f t="shared" si="5"/>
        <v>0.13891751557185916</v>
      </c>
    </row>
    <row r="67" spans="2:27" x14ac:dyDescent="0.35">
      <c r="B67" s="94">
        <v>45352</v>
      </c>
      <c r="C67" s="9">
        <v>171.247726</v>
      </c>
      <c r="D67" s="3">
        <f t="shared" si="0"/>
        <v>-5.0075709000594104E-2</v>
      </c>
      <c r="F67" s="94">
        <v>45352</v>
      </c>
      <c r="G67" s="9">
        <v>5254.3500979999999</v>
      </c>
      <c r="H67" s="3">
        <f t="shared" si="1"/>
        <v>3.1018779887961978E-2</v>
      </c>
      <c r="M67" s="94">
        <v>45352</v>
      </c>
      <c r="N67" s="49">
        <v>60.975999999999999</v>
      </c>
      <c r="O67" s="3">
        <f t="shared" si="2"/>
        <v>0.12261580381471382</v>
      </c>
      <c r="Q67" s="94">
        <v>45352</v>
      </c>
      <c r="R67" s="49">
        <v>420.72000100000002</v>
      </c>
      <c r="S67" s="3">
        <f t="shared" si="3"/>
        <v>1.8997220948603566E-2</v>
      </c>
      <c r="U67" s="94">
        <v>45352</v>
      </c>
      <c r="V67" s="49">
        <v>152.259995</v>
      </c>
      <c r="W67" s="3">
        <f t="shared" si="4"/>
        <v>8.9283131272593685E-2</v>
      </c>
      <c r="Y67" s="94">
        <v>45352</v>
      </c>
      <c r="Z67" s="49">
        <v>180.38000500000001</v>
      </c>
      <c r="AA67" s="3">
        <f t="shared" si="5"/>
        <v>2.0479803702189603E-2</v>
      </c>
    </row>
    <row r="68" spans="2:27" x14ac:dyDescent="0.35">
      <c r="B68" s="94">
        <v>45383</v>
      </c>
      <c r="C68" s="9">
        <v>170.099289</v>
      </c>
      <c r="D68" s="3">
        <f t="shared" si="0"/>
        <v>-6.7062905115597982E-3</v>
      </c>
      <c r="F68" s="94">
        <v>45383</v>
      </c>
      <c r="G68" s="9">
        <v>5035.6899409999996</v>
      </c>
      <c r="H68" s="3">
        <f t="shared" si="1"/>
        <v>-4.1615071877915133E-2</v>
      </c>
      <c r="M68" s="94">
        <v>45383</v>
      </c>
      <c r="N68" s="49">
        <v>57.35</v>
      </c>
      <c r="O68" s="3">
        <f t="shared" si="2"/>
        <v>-5.9466019417475646E-2</v>
      </c>
      <c r="Q68" s="94">
        <v>45383</v>
      </c>
      <c r="R68" s="49">
        <v>389.32998700000002</v>
      </c>
      <c r="S68" s="3">
        <f t="shared" si="3"/>
        <v>-7.4610225150669729E-2</v>
      </c>
      <c r="U68" s="94">
        <v>45383</v>
      </c>
      <c r="V68" s="49">
        <v>164.63999899999999</v>
      </c>
      <c r="W68" s="3">
        <f t="shared" si="4"/>
        <v>8.1308317394861218E-2</v>
      </c>
      <c r="Y68" s="94">
        <v>45383</v>
      </c>
      <c r="Z68" s="49">
        <v>175</v>
      </c>
      <c r="AA68" s="3">
        <f t="shared" si="5"/>
        <v>-2.9825949943842245E-2</v>
      </c>
    </row>
    <row r="69" spans="2:27" x14ac:dyDescent="0.35">
      <c r="B69" s="94">
        <v>45413</v>
      </c>
      <c r="C69" s="9">
        <v>182.802063</v>
      </c>
      <c r="D69" s="3">
        <f t="shared" si="0"/>
        <v>7.4678583753515992E-2</v>
      </c>
      <c r="F69" s="94">
        <v>45413</v>
      </c>
      <c r="G69" s="9">
        <v>5222.6801759999998</v>
      </c>
      <c r="H69" s="3">
        <f t="shared" si="1"/>
        <v>3.7132992140272103E-2</v>
      </c>
      <c r="M69" s="94">
        <v>45413</v>
      </c>
      <c r="N69" s="49">
        <v>57.497999999999998</v>
      </c>
      <c r="O69" s="3">
        <f t="shared" si="2"/>
        <v>2.5806451612901959E-3</v>
      </c>
      <c r="Q69" s="94">
        <v>45413</v>
      </c>
      <c r="R69" s="49">
        <v>414.73998999999998</v>
      </c>
      <c r="S69" s="3">
        <f t="shared" si="3"/>
        <v>6.5265979627713522E-2</v>
      </c>
      <c r="U69" s="94">
        <v>45413</v>
      </c>
      <c r="V69" s="49">
        <v>170.28999300000001</v>
      </c>
      <c r="W69" s="3">
        <f t="shared" si="4"/>
        <v>3.4317262113200186E-2</v>
      </c>
      <c r="Y69" s="94">
        <v>45413</v>
      </c>
      <c r="Z69" s="49">
        <v>187.070007</v>
      </c>
      <c r="AA69" s="3">
        <f t="shared" si="5"/>
        <v>6.8971468571428662E-2</v>
      </c>
    </row>
    <row r="70" spans="2:27" x14ac:dyDescent="0.35">
      <c r="B70" s="94"/>
      <c r="C70" s="9"/>
      <c r="F70" s="94"/>
      <c r="G70" s="9"/>
      <c r="H70" s="3"/>
      <c r="M70" s="94"/>
      <c r="N70" s="49"/>
      <c r="O70" s="3"/>
      <c r="Q70" s="94"/>
      <c r="R70" s="49"/>
      <c r="S70" s="3"/>
      <c r="U70" s="94"/>
      <c r="V70" s="49"/>
      <c r="W70" s="3"/>
      <c r="Y70" s="94"/>
      <c r="AA70" s="3"/>
    </row>
  </sheetData>
  <sheetProtection password="CC0B" sheet="1" objects="1" scenarios="1" selectLockedCells="0" selectUnlockedCells="1"/>
  <mergeCells count="7">
    <mergeCell ref="U8:W8"/>
    <mergeCell ref="Y8:AA8"/>
    <mergeCell ref="M8:O8"/>
    <mergeCell ref="Q8:S8"/>
    <mergeCell ref="B8:D8"/>
    <mergeCell ref="F8:H8"/>
    <mergeCell ref="J8:K8"/>
  </mergeCells>
  <pageMargins left="0.23622047244094491" right="0.23622047244094491" top="0" bottom="0.23622047244094491" header="0.23622047244094491" footer="0.23622047244094491"/>
  <pageSetup paperSize="9" scale="74" orientation="landscape" horizontalDpi="4294967293" verticalDpi="0"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5A066C-EF99-4577-A56E-267632033588}">
  <sheetPr>
    <pageSetUpPr fitToPage="1"/>
  </sheetPr>
  <dimension ref="A6:L62"/>
  <sheetViews>
    <sheetView showGridLines="0" topLeftCell="A45" zoomScale="118" zoomScaleNormal="100" workbookViewId="0">
      <selection activeCell="F38" sqref="F38"/>
    </sheetView>
  </sheetViews>
  <sheetFormatPr defaultRowHeight="14.5" x14ac:dyDescent="0.35"/>
  <cols>
    <col min="1" max="1" width="1.81640625" customWidth="1"/>
    <col min="6" max="8" width="8.90625" bestFit="1" customWidth="1"/>
  </cols>
  <sheetData>
    <row r="6" spans="1:10" x14ac:dyDescent="0.35">
      <c r="A6" t="s">
        <v>8</v>
      </c>
      <c r="B6" s="195" t="s">
        <v>342</v>
      </c>
      <c r="C6" s="195"/>
      <c r="D6" s="195"/>
      <c r="E6" s="195"/>
      <c r="F6" s="195">
        <f>'Historical &amp; Forecasted FS'!H6</f>
        <v>2019</v>
      </c>
      <c r="G6" s="195">
        <f>'Historical &amp; Forecasted FS'!I6</f>
        <v>2020</v>
      </c>
      <c r="H6" s="195">
        <f>'Historical &amp; Forecasted FS'!J6</f>
        <v>2021</v>
      </c>
      <c r="I6" s="195">
        <f>'Historical &amp; Forecasted FS'!K6</f>
        <v>2022</v>
      </c>
      <c r="J6" s="195">
        <f>'Historical &amp; Forecasted FS'!L6</f>
        <v>2023</v>
      </c>
    </row>
    <row r="8" spans="1:10" x14ac:dyDescent="0.35">
      <c r="B8" t="str">
        <f>'Historical &amp; Forecasted FS'!B65</f>
        <v>Short Term Investments</v>
      </c>
      <c r="F8" s="44">
        <f>'Historical &amp; Forecasted FS'!H65</f>
        <v>51713</v>
      </c>
      <c r="G8" s="44">
        <f>'Historical &amp; Forecasted FS'!I65</f>
        <v>52927</v>
      </c>
      <c r="H8" s="44">
        <f>'Historical &amp; Forecasted FS'!J65</f>
        <v>27699</v>
      </c>
      <c r="I8" s="44">
        <f>'Historical &amp; Forecasted FS'!K65</f>
        <v>24658</v>
      </c>
      <c r="J8" s="44">
        <f>'Historical &amp; Forecasted FS'!L65</f>
        <v>31590</v>
      </c>
    </row>
    <row r="9" spans="1:10" x14ac:dyDescent="0.35">
      <c r="B9" t="str">
        <f>'Historical &amp; Forecasted FS'!B67</f>
        <v>Accounts Receivable</v>
      </c>
      <c r="F9" s="44">
        <f>'Historical &amp; Forecasted FS'!H67</f>
        <v>22926</v>
      </c>
      <c r="G9" s="44">
        <f>'Historical &amp; Forecasted FS'!I67</f>
        <v>16120</v>
      </c>
      <c r="H9" s="44">
        <f>'Historical &amp; Forecasted FS'!J67</f>
        <v>26278</v>
      </c>
      <c r="I9" s="44">
        <f>'Historical &amp; Forecasted FS'!K67</f>
        <v>28184</v>
      </c>
      <c r="J9" s="44">
        <f>'Historical &amp; Forecasted FS'!L67</f>
        <v>29508</v>
      </c>
    </row>
    <row r="10" spans="1:10" x14ac:dyDescent="0.35">
      <c r="B10" t="str">
        <f>'Historical &amp; Forecasted FS'!B68</f>
        <v>Other Receivables</v>
      </c>
      <c r="F10" s="44">
        <f>'Historical &amp; Forecasted FS'!H68</f>
        <v>22878</v>
      </c>
      <c r="G10" s="44">
        <f>'Historical &amp; Forecasted FS'!I68</f>
        <v>21325</v>
      </c>
      <c r="H10" s="44">
        <f>'Historical &amp; Forecasted FS'!J68</f>
        <v>25228</v>
      </c>
      <c r="I10" s="44">
        <f>'Historical &amp; Forecasted FS'!K68</f>
        <v>32748</v>
      </c>
      <c r="J10" s="44">
        <f>'Historical &amp; Forecasted FS'!L68</f>
        <v>31477</v>
      </c>
    </row>
    <row r="11" spans="1:10" x14ac:dyDescent="0.35">
      <c r="B11" t="str">
        <f>'Historical &amp; Forecasted FS'!B70</f>
        <v>Inventory</v>
      </c>
      <c r="F11" s="44">
        <f>'Historical &amp; Forecasted FS'!H70</f>
        <v>4106</v>
      </c>
      <c r="G11" s="44">
        <f>'Historical &amp; Forecasted FS'!I70</f>
        <v>4061</v>
      </c>
      <c r="H11" s="44">
        <f>'Historical &amp; Forecasted FS'!J70</f>
        <v>6580</v>
      </c>
      <c r="I11" s="44">
        <f>'Historical &amp; Forecasted FS'!K70</f>
        <v>4946</v>
      </c>
      <c r="J11" s="44">
        <f>'Historical &amp; Forecasted FS'!L70</f>
        <v>6331</v>
      </c>
    </row>
    <row r="12" spans="1:10" x14ac:dyDescent="0.35">
      <c r="B12" t="str">
        <f>'Historical &amp; Forecasted FS'!B71</f>
        <v>Other Current Assets</v>
      </c>
      <c r="F12" s="44">
        <f>'Historical &amp; Forecasted FS'!H71</f>
        <v>12329</v>
      </c>
      <c r="G12" s="44">
        <f>'Historical &amp; Forecasted FS'!I71</f>
        <v>11264</v>
      </c>
      <c r="H12" s="44">
        <f>'Historical &amp; Forecasted FS'!J71</f>
        <v>14111</v>
      </c>
      <c r="I12" s="44">
        <f>'Historical &amp; Forecasted FS'!K71</f>
        <v>21223</v>
      </c>
      <c r="J12" s="44">
        <f>'Historical &amp; Forecasted FS'!L71</f>
        <v>14695</v>
      </c>
    </row>
    <row r="13" spans="1:10" x14ac:dyDescent="0.35">
      <c r="B13" s="101" t="str">
        <f>'Historical &amp; Forecasted FS'!B72</f>
        <v>Total Current Assets</v>
      </c>
      <c r="C13" s="102"/>
      <c r="D13" s="102"/>
      <c r="E13" s="102"/>
      <c r="F13" s="103">
        <f>SUM(F8:F12)</f>
        <v>113952</v>
      </c>
      <c r="G13" s="103">
        <f t="shared" ref="G13:J13" si="0">SUM(G8:G12)</f>
        <v>105697</v>
      </c>
      <c r="H13" s="103">
        <f t="shared" si="0"/>
        <v>99896</v>
      </c>
      <c r="I13" s="103">
        <f t="shared" si="0"/>
        <v>111759</v>
      </c>
      <c r="J13" s="103">
        <f t="shared" si="0"/>
        <v>113601</v>
      </c>
    </row>
    <row r="15" spans="1:10" x14ac:dyDescent="0.35">
      <c r="B15" t="str">
        <f>'Historical &amp; Forecasted FS'!B84</f>
        <v>Accounts Payable</v>
      </c>
    </row>
    <row r="16" spans="1:10" x14ac:dyDescent="0.35">
      <c r="B16" t="str">
        <f>'Historical &amp; Forecasted FS'!B85</f>
        <v>Short-term Borrowings</v>
      </c>
      <c r="F16" s="44">
        <f>'Historical &amp; Forecasted FS'!H84</f>
        <v>46236</v>
      </c>
      <c r="G16" s="44">
        <f>'Historical &amp; Forecasted FS'!I84</f>
        <v>42296</v>
      </c>
      <c r="H16" s="44">
        <f>'Historical &amp; Forecasted FS'!J84</f>
        <v>54763</v>
      </c>
      <c r="I16" s="44">
        <f>'Historical &amp; Forecasted FS'!K84</f>
        <v>64115</v>
      </c>
      <c r="J16" s="44">
        <f>'Historical &amp; Forecasted FS'!L84</f>
        <v>62611</v>
      </c>
    </row>
    <row r="17" spans="1:10" x14ac:dyDescent="0.35">
      <c r="B17" t="str">
        <f>'Historical &amp; Forecasted FS'!B86</f>
        <v>Curr. Port. of LT Debt</v>
      </c>
      <c r="F17" s="44">
        <f>'Historical &amp; Forecasted FS'!H85</f>
        <v>5980</v>
      </c>
      <c r="G17" s="44">
        <f>'Historical &amp; Forecasted FS'!I85</f>
        <v>4996</v>
      </c>
      <c r="H17" s="44">
        <f>'Historical &amp; Forecasted FS'!J85</f>
        <v>6000</v>
      </c>
      <c r="I17" s="44">
        <f>'Historical &amp; Forecasted FS'!K85</f>
        <v>9982</v>
      </c>
      <c r="J17" s="44">
        <f>'Historical &amp; Forecasted FS'!L85</f>
        <v>5985</v>
      </c>
    </row>
    <row r="18" spans="1:10" x14ac:dyDescent="0.35">
      <c r="B18" t="str">
        <f>'Historical &amp; Forecasted FS'!B87</f>
        <v>Curr. Port. of Leases</v>
      </c>
      <c r="F18" s="44">
        <f>'Historical &amp; Forecasted FS'!H86</f>
        <v>10260</v>
      </c>
      <c r="G18" s="44">
        <f>'Historical &amp; Forecasted FS'!I86</f>
        <v>8773</v>
      </c>
      <c r="H18" s="44">
        <f>'Historical &amp; Forecasted FS'!J86</f>
        <v>9613</v>
      </c>
      <c r="I18" s="44">
        <f>'Historical &amp; Forecasted FS'!K86</f>
        <v>11128</v>
      </c>
      <c r="J18" s="44">
        <f>'Historical &amp; Forecasted FS'!L86</f>
        <v>9822</v>
      </c>
    </row>
    <row r="19" spans="1:10" x14ac:dyDescent="0.35">
      <c r="B19" t="str">
        <f>'Historical &amp; Forecasted FS'!B88</f>
        <v>Unearned Revenue, Current</v>
      </c>
      <c r="F19" s="44" t="str">
        <f>'Historical &amp; Forecasted FS'!H87</f>
        <v>-</v>
      </c>
      <c r="G19" s="44">
        <f>'Historical &amp; Forecasted FS'!I87</f>
        <v>1460</v>
      </c>
      <c r="H19" s="44">
        <f>'Historical &amp; Forecasted FS'!J87</f>
        <v>1528</v>
      </c>
      <c r="I19" s="44">
        <f>'Historical &amp; Forecasted FS'!K87</f>
        <v>1663</v>
      </c>
      <c r="J19" s="44">
        <f>'Historical &amp; Forecasted FS'!L87</f>
        <v>1575</v>
      </c>
    </row>
    <row r="20" spans="1:10" x14ac:dyDescent="0.35">
      <c r="B20" t="str">
        <f>'Historical &amp; Forecasted FS'!B89</f>
        <v>Other Current Liabilities</v>
      </c>
      <c r="F20" s="44">
        <f>'Historical &amp; Forecasted FS'!H88</f>
        <v>5522</v>
      </c>
      <c r="G20" s="44">
        <f>'Historical &amp; Forecasted FS'!I88</f>
        <v>6643</v>
      </c>
      <c r="H20" s="44">
        <f>'Historical &amp; Forecasted FS'!J88</f>
        <v>7612</v>
      </c>
      <c r="I20" s="44">
        <f>'Historical &amp; Forecasted FS'!K88</f>
        <v>7912</v>
      </c>
      <c r="J20" s="44">
        <f>'Historical &amp; Forecasted FS'!L88</f>
        <v>8061</v>
      </c>
    </row>
    <row r="21" spans="1:10" x14ac:dyDescent="0.35">
      <c r="B21" s="101" t="str">
        <f>'Historical &amp; Forecasted FS'!B90</f>
        <v>Total Current Liabilities</v>
      </c>
      <c r="C21" s="101"/>
      <c r="D21" s="101"/>
      <c r="E21" s="101"/>
      <c r="F21" s="103">
        <f>SUM(F16:F20)</f>
        <v>67998</v>
      </c>
      <c r="G21" s="103">
        <f>SUM(G16:G20)</f>
        <v>64168</v>
      </c>
      <c r="H21" s="103">
        <f t="shared" ref="H21:J21" si="1">SUM(H16:H20)</f>
        <v>79516</v>
      </c>
      <c r="I21" s="103">
        <f t="shared" si="1"/>
        <v>94800</v>
      </c>
      <c r="J21" s="103">
        <f t="shared" si="1"/>
        <v>88054</v>
      </c>
    </row>
    <row r="23" spans="1:10" ht="15" thickBot="1" x14ac:dyDescent="0.4">
      <c r="A23" t="s">
        <v>8</v>
      </c>
      <c r="B23" s="104" t="s">
        <v>344</v>
      </c>
      <c r="C23" s="104"/>
      <c r="D23" s="104"/>
      <c r="E23" s="104"/>
      <c r="F23" s="105">
        <f>F13-F21</f>
        <v>45954</v>
      </c>
      <c r="G23" s="105">
        <f>G13-G21</f>
        <v>41529</v>
      </c>
      <c r="H23" s="105">
        <f>H13-H21</f>
        <v>20380</v>
      </c>
      <c r="I23" s="105">
        <f>I13-I21</f>
        <v>16959</v>
      </c>
      <c r="J23" s="105">
        <f>J13-J21</f>
        <v>25547</v>
      </c>
    </row>
    <row r="24" spans="1:10" ht="15" thickTop="1" x14ac:dyDescent="0.35"/>
    <row r="25" spans="1:10" x14ac:dyDescent="0.35">
      <c r="B25" t="str">
        <f>'Historical &amp; Forecasted FS'!B74</f>
        <v>Gross Property, Plant &amp; Equipment</v>
      </c>
      <c r="F25" s="44">
        <f>'Historical &amp; Forecasted FS'!H74</f>
        <v>95957</v>
      </c>
      <c r="G25" s="44">
        <f>'Historical &amp; Forecasted FS'!I74</f>
        <v>112096</v>
      </c>
      <c r="H25" s="44">
        <f>'Historical &amp; Forecasted FS'!J74</f>
        <v>119810</v>
      </c>
      <c r="I25" s="44">
        <f>'Historical &amp; Forecasted FS'!K74</f>
        <v>124874</v>
      </c>
      <c r="J25" s="44">
        <f>'Historical &amp; Forecasted FS'!L74</f>
        <v>125260</v>
      </c>
    </row>
    <row r="26" spans="1:10" x14ac:dyDescent="0.35">
      <c r="B26" t="str">
        <f>'Historical &amp; Forecasted FS'!B76</f>
        <v>Net Property, Plant &amp; Equipment</v>
      </c>
      <c r="F26" s="44">
        <f>'Historical &amp; Forecasted FS'!H76</f>
        <v>37378</v>
      </c>
      <c r="G26" s="44">
        <f>'Historical &amp; Forecasted FS'!I76</f>
        <v>45336</v>
      </c>
      <c r="H26" s="44">
        <f>'Historical &amp; Forecasted FS'!J76</f>
        <v>49527</v>
      </c>
      <c r="I26" s="44">
        <f>'Historical &amp; Forecasted FS'!K76</f>
        <v>52534</v>
      </c>
      <c r="J26" s="44">
        <f>'Historical &amp; Forecasted FS'!L76</f>
        <v>54376</v>
      </c>
    </row>
    <row r="27" spans="1:10" x14ac:dyDescent="0.35">
      <c r="B27" t="str">
        <f>'Historical &amp; Forecasted FS'!B77</f>
        <v>Long-term Investments</v>
      </c>
      <c r="F27" s="44">
        <f>'Historical &amp; Forecasted FS'!H77</f>
        <v>105341</v>
      </c>
      <c r="G27" s="44">
        <f>'Historical &amp; Forecasted FS'!I77</f>
        <v>100887</v>
      </c>
      <c r="H27" s="44">
        <f>'Historical &amp; Forecasted FS'!J77</f>
        <v>127877</v>
      </c>
      <c r="I27" s="44">
        <f>'Historical &amp; Forecasted FS'!K77</f>
        <v>120805</v>
      </c>
      <c r="J27" s="44">
        <f>'Historical &amp; Forecasted FS'!L77</f>
        <v>100544</v>
      </c>
    </row>
    <row r="28" spans="1:10" x14ac:dyDescent="0.35">
      <c r="B28" t="str">
        <f>'Historical &amp; Forecasted FS'!B78</f>
        <v>Goodwill</v>
      </c>
      <c r="F28" s="44" t="str">
        <f>'Historical &amp; Forecasted FS'!H78</f>
        <v>-</v>
      </c>
      <c r="G28" s="44" t="str">
        <f>'Historical &amp; Forecasted FS'!I78</f>
        <v>-</v>
      </c>
      <c r="H28" s="44" t="str">
        <f>'Historical &amp; Forecasted FS'!J78</f>
        <v>-</v>
      </c>
      <c r="I28" s="44" t="str">
        <f>'Historical &amp; Forecasted FS'!K78</f>
        <v>-</v>
      </c>
      <c r="J28" s="44" t="str">
        <f>'Historical &amp; Forecasted FS'!L78</f>
        <v>-</v>
      </c>
    </row>
    <row r="29" spans="1:10" x14ac:dyDescent="0.35">
      <c r="B29" t="str">
        <f>'Historical &amp; Forecasted FS'!B79</f>
        <v>Other Intangibles</v>
      </c>
      <c r="F29" s="44" t="str">
        <f>'Historical &amp; Forecasted FS'!H79</f>
        <v>-</v>
      </c>
      <c r="G29" s="44" t="str">
        <f>'Historical &amp; Forecasted FS'!I79</f>
        <v>-</v>
      </c>
      <c r="H29" s="44" t="str">
        <f>'Historical &amp; Forecasted FS'!J79</f>
        <v>-</v>
      </c>
      <c r="I29" s="44" t="str">
        <f>'Historical &amp; Forecasted FS'!K79</f>
        <v>-</v>
      </c>
      <c r="J29" s="44" t="str">
        <f>'Historical &amp; Forecasted FS'!L79</f>
        <v>-</v>
      </c>
    </row>
    <row r="30" spans="1:10" x14ac:dyDescent="0.35">
      <c r="B30" t="str">
        <f>'Historical &amp; Forecasted FS'!B80</f>
        <v>Other Long-Term Assets</v>
      </c>
      <c r="F30" s="44">
        <f>'Historical &amp; Forecasted FS'!H80</f>
        <v>32978</v>
      </c>
      <c r="G30" s="44">
        <f>'Historical &amp; Forecasted FS'!I80</f>
        <v>33952</v>
      </c>
      <c r="H30" s="44">
        <f>'Historical &amp; Forecasted FS'!J80</f>
        <v>38762</v>
      </c>
      <c r="I30" s="44">
        <f>'Historical &amp; Forecasted FS'!K80</f>
        <v>44011</v>
      </c>
      <c r="J30" s="44">
        <f>'Historical &amp; Forecasted FS'!L80</f>
        <v>54097</v>
      </c>
    </row>
    <row r="31" spans="1:10" x14ac:dyDescent="0.35">
      <c r="B31" s="101" t="s">
        <v>345</v>
      </c>
      <c r="C31" s="101"/>
      <c r="D31" s="101"/>
      <c r="E31" s="101"/>
      <c r="F31" s="103">
        <f>SUM(F25:F30)</f>
        <v>271654</v>
      </c>
      <c r="G31" s="103">
        <f>SUM(G25:G30)</f>
        <v>292271</v>
      </c>
      <c r="H31" s="103">
        <f>SUM(H25:H30)</f>
        <v>335976</v>
      </c>
      <c r="I31" s="103">
        <f>SUM(I25:I30)</f>
        <v>342224</v>
      </c>
      <c r="J31" s="103">
        <f>SUM(J25:J30)</f>
        <v>334277</v>
      </c>
    </row>
    <row r="32" spans="1:10" x14ac:dyDescent="0.35">
      <c r="B32" t="str">
        <f>'Historical &amp; Forecasted FS'!B75</f>
        <v>Accumulated Depreciation</v>
      </c>
      <c r="F32" s="44">
        <f>'Historical &amp; Forecasted FS'!H75</f>
        <v>-58579</v>
      </c>
      <c r="G32" s="44">
        <f>'Historical &amp; Forecasted FS'!I75</f>
        <v>-66760</v>
      </c>
      <c r="H32" s="44">
        <f>'Historical &amp; Forecasted FS'!J75</f>
        <v>-70283</v>
      </c>
      <c r="I32" s="44">
        <f>'Historical &amp; Forecasted FS'!K75</f>
        <v>-72340</v>
      </c>
      <c r="J32" s="44">
        <f>'Historical &amp; Forecasted FS'!L75</f>
        <v>-70884</v>
      </c>
    </row>
    <row r="33" spans="1:12" ht="15" thickBot="1" x14ac:dyDescent="0.4">
      <c r="A33" t="s">
        <v>8</v>
      </c>
      <c r="B33" s="104" t="s">
        <v>346</v>
      </c>
      <c r="C33" s="104"/>
      <c r="D33" s="104"/>
      <c r="E33" s="104"/>
      <c r="F33" s="105">
        <f>SUM(F31:F32)</f>
        <v>213075</v>
      </c>
      <c r="G33" s="105">
        <f t="shared" ref="G33:J33" si="2">SUM(G31:G32)</f>
        <v>225511</v>
      </c>
      <c r="H33" s="105">
        <f t="shared" si="2"/>
        <v>265693</v>
      </c>
      <c r="I33" s="105">
        <f t="shared" si="2"/>
        <v>269884</v>
      </c>
      <c r="J33" s="105">
        <f t="shared" si="2"/>
        <v>263393</v>
      </c>
    </row>
    <row r="34" spans="1:12" ht="15" thickTop="1" x14ac:dyDescent="0.35"/>
    <row r="35" spans="1:12" ht="15" thickBot="1" x14ac:dyDescent="0.4">
      <c r="A35" t="s">
        <v>8</v>
      </c>
      <c r="B35" s="104" t="s">
        <v>347</v>
      </c>
      <c r="C35" s="104"/>
      <c r="D35" s="104"/>
      <c r="E35" s="104"/>
      <c r="F35" s="105">
        <f>F33+F23</f>
        <v>259029</v>
      </c>
      <c r="G35" s="105">
        <f t="shared" ref="G35:J35" si="3">G33+G23</f>
        <v>267040</v>
      </c>
      <c r="H35" s="105">
        <f>H33+H23</f>
        <v>286073</v>
      </c>
      <c r="I35" s="105">
        <f t="shared" si="3"/>
        <v>286843</v>
      </c>
      <c r="J35" s="105">
        <f t="shared" si="3"/>
        <v>288940</v>
      </c>
      <c r="L35" s="100"/>
    </row>
    <row r="36" spans="1:12" ht="15" thickTop="1" x14ac:dyDescent="0.35">
      <c r="B36" s="1" t="s">
        <v>85</v>
      </c>
      <c r="C36" s="1"/>
      <c r="D36" s="1"/>
      <c r="E36" s="1"/>
      <c r="F36" s="100">
        <f>'Historical &amp; Forecasted FS'!H23</f>
        <v>63930</v>
      </c>
      <c r="G36" s="100">
        <f>'Historical &amp; Forecasted FS'!I23</f>
        <v>66288</v>
      </c>
      <c r="H36" s="100">
        <f>'Historical &amp; Forecasted FS'!J23</f>
        <v>108949</v>
      </c>
      <c r="I36" s="100">
        <f>'Historical &amp; Forecasted FS'!K23</f>
        <v>119437</v>
      </c>
      <c r="J36" s="100">
        <f>'Historical &amp; Forecasted FS'!L23</f>
        <v>114301</v>
      </c>
    </row>
    <row r="38" spans="1:12" ht="15" thickBot="1" x14ac:dyDescent="0.4">
      <c r="A38" t="s">
        <v>8</v>
      </c>
      <c r="B38" s="104" t="s">
        <v>348</v>
      </c>
      <c r="C38" s="107"/>
      <c r="D38" s="107"/>
      <c r="E38" s="107"/>
      <c r="F38" s="108">
        <f>F36/F35</f>
        <v>0.2468063421470183</v>
      </c>
      <c r="G38" s="108">
        <f t="shared" ref="G38:I38" si="4">G36/G35</f>
        <v>0.24823247453565009</v>
      </c>
      <c r="H38" s="108">
        <f t="shared" si="4"/>
        <v>0.38084335117260282</v>
      </c>
      <c r="I38" s="108">
        <f t="shared" si="4"/>
        <v>0.41638457274536944</v>
      </c>
      <c r="J38" s="108">
        <f>J36/J35</f>
        <v>0.395587319166609</v>
      </c>
      <c r="L38" s="4"/>
    </row>
    <row r="39" spans="1:12" ht="15" thickTop="1" x14ac:dyDescent="0.35">
      <c r="L39" s="4"/>
    </row>
    <row r="40" spans="1:12" x14ac:dyDescent="0.35">
      <c r="A40" t="s">
        <v>8</v>
      </c>
      <c r="B40" s="195" t="s">
        <v>349</v>
      </c>
      <c r="C40" s="195"/>
      <c r="D40" s="195"/>
      <c r="E40" s="195"/>
      <c r="F40" s="195">
        <f>F6</f>
        <v>2019</v>
      </c>
      <c r="G40" s="195">
        <f t="shared" ref="G40:J40" si="5">G6</f>
        <v>2020</v>
      </c>
      <c r="H40" s="195">
        <f t="shared" si="5"/>
        <v>2021</v>
      </c>
      <c r="I40" s="195">
        <f t="shared" si="5"/>
        <v>2022</v>
      </c>
      <c r="J40" s="195">
        <f t="shared" si="5"/>
        <v>2023</v>
      </c>
    </row>
    <row r="42" spans="1:12" x14ac:dyDescent="0.35">
      <c r="B42" s="10" t="s">
        <v>350</v>
      </c>
      <c r="C42" s="10"/>
      <c r="D42" s="10"/>
      <c r="E42" s="10"/>
      <c r="F42" s="141">
        <f>('Historical &amp; Forecasted FS'!H74-'Historical &amp; Forecasted FS'!G74)+'Historical &amp; Forecasted FS'!H38</f>
        <v>18101</v>
      </c>
      <c r="G42" s="141">
        <f>('Historical &amp; Forecasted FS'!I74-'Historical &amp; Forecasted FS'!H74)+'Historical &amp; Forecasted FS'!I38</f>
        <v>27195</v>
      </c>
      <c r="H42" s="141">
        <f>('Historical &amp; Forecasted FS'!J74-'Historical &amp; Forecasted FS'!I74)+'Historical &amp; Forecasted FS'!J38</f>
        <v>18998</v>
      </c>
      <c r="I42" s="141">
        <f>('Historical &amp; Forecasted FS'!K74-'Historical &amp; Forecasted FS'!J74)+'Historical &amp; Forecasted FS'!K38</f>
        <v>16168</v>
      </c>
      <c r="J42" s="141">
        <f>('Historical &amp; Forecasted FS'!L74-'Historical &amp; Forecasted FS'!K74)+'Historical &amp; Forecasted FS'!L38</f>
        <v>11905</v>
      </c>
    </row>
    <row r="43" spans="1:12" x14ac:dyDescent="0.35">
      <c r="B43" t="s">
        <v>351</v>
      </c>
      <c r="G43" s="44">
        <f>G23-F23</f>
        <v>-4425</v>
      </c>
      <c r="H43" s="44">
        <f>H23-G23</f>
        <v>-21149</v>
      </c>
      <c r="I43" s="44">
        <f t="shared" ref="I43:J43" si="6">I23-H23</f>
        <v>-3421</v>
      </c>
      <c r="J43" s="44">
        <f t="shared" si="6"/>
        <v>8588</v>
      </c>
    </row>
    <row r="45" spans="1:12" x14ac:dyDescent="0.35">
      <c r="B45" t="s">
        <v>85</v>
      </c>
      <c r="F45" s="44">
        <f>F36</f>
        <v>63930</v>
      </c>
      <c r="G45" s="44">
        <f t="shared" ref="G45:J45" si="7">G36</f>
        <v>66288</v>
      </c>
      <c r="H45" s="44">
        <f t="shared" si="7"/>
        <v>108949</v>
      </c>
      <c r="I45" s="44">
        <f t="shared" si="7"/>
        <v>119437</v>
      </c>
      <c r="J45" s="44">
        <f t="shared" si="7"/>
        <v>114301</v>
      </c>
    </row>
    <row r="46" spans="1:12" x14ac:dyDescent="0.35">
      <c r="B46" t="s">
        <v>352</v>
      </c>
      <c r="F46" s="4">
        <f t="array" ref="F46:J46">WACC!F14:F18</f>
        <v>0.1472</v>
      </c>
      <c r="G46" s="4">
        <v>0.1472</v>
      </c>
      <c r="H46" s="4">
        <v>0.1472</v>
      </c>
      <c r="I46" s="4">
        <v>0.1472</v>
      </c>
      <c r="J46" s="4">
        <v>0.1472</v>
      </c>
    </row>
    <row r="48" spans="1:12" x14ac:dyDescent="0.35">
      <c r="B48" t="s">
        <v>353</v>
      </c>
      <c r="G48" s="44">
        <f>SUM(G42:G43)</f>
        <v>22770</v>
      </c>
      <c r="H48" s="44">
        <f>SUM(H42:H43)</f>
        <v>-2151</v>
      </c>
      <c r="I48" s="44">
        <f t="shared" ref="I48" si="8">SUM(I42:I43)</f>
        <v>12747</v>
      </c>
      <c r="J48" s="44">
        <f>SUM(J42:J43)</f>
        <v>20493</v>
      </c>
    </row>
    <row r="49" spans="1:10" ht="15" thickBot="1" x14ac:dyDescent="0.4">
      <c r="A49" t="s">
        <v>8</v>
      </c>
      <c r="B49" s="104" t="s">
        <v>354</v>
      </c>
      <c r="C49" s="104"/>
      <c r="D49" s="104"/>
      <c r="E49" s="104"/>
      <c r="F49" s="104"/>
      <c r="G49" s="108">
        <f>G48/(G45*(1-G46))</f>
        <v>0.40279208040506853</v>
      </c>
      <c r="H49" s="108">
        <f t="shared" ref="H49:I49" si="9">H48/(H45*(1-H46))</f>
        <v>-2.3151011479853639E-2</v>
      </c>
      <c r="I49" s="108">
        <f t="shared" si="9"/>
        <v>0.12514742203340151</v>
      </c>
      <c r="J49" s="108">
        <f>J48/(J45*(1-J46))</f>
        <v>0.21023659708403306</v>
      </c>
    </row>
    <row r="50" spans="1:10" ht="15" thickTop="1" x14ac:dyDescent="0.35"/>
    <row r="51" spans="1:10" x14ac:dyDescent="0.35">
      <c r="H51" s="109" t="s">
        <v>355</v>
      </c>
      <c r="I51" s="109"/>
      <c r="J51" s="110">
        <f>AVERAGE(G49:J49)</f>
        <v>0.17875627201066238</v>
      </c>
    </row>
    <row r="52" spans="1:10" x14ac:dyDescent="0.35">
      <c r="H52" s="109" t="s">
        <v>356</v>
      </c>
      <c r="I52" s="109"/>
      <c r="J52" s="110">
        <f>MEDIAN(G49:J49)</f>
        <v>0.16769200955871727</v>
      </c>
    </row>
    <row r="54" spans="1:10" x14ac:dyDescent="0.35">
      <c r="A54" t="s">
        <v>8</v>
      </c>
      <c r="B54" s="195" t="s">
        <v>357</v>
      </c>
      <c r="C54" s="195"/>
      <c r="D54" s="195"/>
      <c r="E54" s="195"/>
      <c r="F54" s="195">
        <f>F40</f>
        <v>2019</v>
      </c>
      <c r="G54" s="195">
        <f t="shared" ref="G54:J54" si="10">G40</f>
        <v>2020</v>
      </c>
      <c r="H54" s="195">
        <f t="shared" si="10"/>
        <v>2021</v>
      </c>
      <c r="I54" s="195">
        <f t="shared" si="10"/>
        <v>2022</v>
      </c>
      <c r="J54" s="195">
        <f t="shared" si="10"/>
        <v>2023</v>
      </c>
    </row>
    <row r="56" spans="1:10" x14ac:dyDescent="0.35">
      <c r="B56" t="s">
        <v>354</v>
      </c>
      <c r="G56" s="7">
        <f t="shared" ref="G56:J56" si="11">G49</f>
        <v>0.40279208040506853</v>
      </c>
      <c r="H56" s="7">
        <f t="shared" si="11"/>
        <v>-2.3151011479853639E-2</v>
      </c>
      <c r="I56" s="7">
        <f t="shared" si="11"/>
        <v>0.12514742203340151</v>
      </c>
      <c r="J56" s="7">
        <f t="shared" si="11"/>
        <v>0.21023659708403306</v>
      </c>
    </row>
    <row r="57" spans="1:10" x14ac:dyDescent="0.35">
      <c r="B57" t="s">
        <v>348</v>
      </c>
      <c r="F57" s="4"/>
      <c r="G57" s="4">
        <f t="shared" ref="G57:J57" si="12">G38</f>
        <v>0.24823247453565009</v>
      </c>
      <c r="H57" s="4">
        <f t="shared" si="12"/>
        <v>0.38084335117260282</v>
      </c>
      <c r="I57" s="4">
        <f t="shared" si="12"/>
        <v>0.41638457274536944</v>
      </c>
      <c r="J57" s="4">
        <f t="shared" si="12"/>
        <v>0.395587319166609</v>
      </c>
    </row>
    <row r="59" spans="1:10" ht="15" thickBot="1" x14ac:dyDescent="0.4">
      <c r="A59" t="s">
        <v>8</v>
      </c>
      <c r="B59" s="104" t="s">
        <v>358</v>
      </c>
      <c r="C59" s="104"/>
      <c r="D59" s="104"/>
      <c r="E59" s="104"/>
      <c r="F59" s="104"/>
      <c r="G59" s="106">
        <f>G56*G57</f>
        <v>9.99860748423127E-2</v>
      </c>
      <c r="H59" s="106">
        <f t="shared" ref="H59:J59" si="13">H56*H57</f>
        <v>-8.8169087950228583E-3</v>
      </c>
      <c r="I59" s="106">
        <f t="shared" si="13"/>
        <v>5.2109455853562324E-2</v>
      </c>
      <c r="J59" s="106">
        <f t="shared" si="13"/>
        <v>8.3166931831183163E-2</v>
      </c>
    </row>
    <row r="60" spans="1:10" ht="15" thickTop="1" x14ac:dyDescent="0.35"/>
    <row r="61" spans="1:10" x14ac:dyDescent="0.35">
      <c r="H61" s="109" t="s">
        <v>355</v>
      </c>
      <c r="I61" s="109"/>
      <c r="J61" s="110">
        <f>AVERAGE(G59:J59)</f>
        <v>5.6611388433008836E-2</v>
      </c>
    </row>
    <row r="62" spans="1:10" x14ac:dyDescent="0.35">
      <c r="H62" s="109" t="s">
        <v>356</v>
      </c>
      <c r="I62" s="109"/>
      <c r="J62" s="110">
        <f>MEDIAN(G59:J59)</f>
        <v>6.763819384237274E-2</v>
      </c>
    </row>
  </sheetData>
  <sheetProtection password="CC0B" sheet="1" objects="1" scenarios="1" selectLockedCells="0" selectUnlockedCells="1"/>
  <pageMargins left="0.25" right="0.25" top="0.75" bottom="0.75" header="0.3" footer="0.3"/>
  <pageSetup paperSize="9" scale="80" orientation="portrait" horizontalDpi="4294967293" verticalDpi="0"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B530EC-27AC-4F33-8B64-B947AA15547C}">
  <sheetPr>
    <pageSetUpPr fitToPage="1"/>
  </sheetPr>
  <dimension ref="B6:L48"/>
  <sheetViews>
    <sheetView showGridLines="0" topLeftCell="A21" workbookViewId="0">
      <selection activeCell="M53" sqref="M53"/>
    </sheetView>
  </sheetViews>
  <sheetFormatPr defaultRowHeight="14.5" outlineLevelRow="1" x14ac:dyDescent="0.35"/>
  <cols>
    <col min="1" max="1" width="1.81640625" customWidth="1"/>
    <col min="5" max="5" width="9.90625" bestFit="1" customWidth="1"/>
    <col min="6" max="11" width="9.7265625" bestFit="1" customWidth="1"/>
    <col min="12" max="12" width="9.36328125" bestFit="1" customWidth="1"/>
  </cols>
  <sheetData>
    <row r="6" spans="2:12" x14ac:dyDescent="0.35">
      <c r="B6" s="195" t="s">
        <v>359</v>
      </c>
      <c r="C6" s="195"/>
      <c r="D6" s="195"/>
      <c r="E6" s="195"/>
      <c r="F6" s="208">
        <f>'Historical &amp; Forecasted FS'!L6</f>
        <v>2023</v>
      </c>
      <c r="G6" s="198">
        <f>'Historical &amp; Forecasted FS'!N6</f>
        <v>2024</v>
      </c>
      <c r="H6" s="198">
        <f>'Historical &amp; Forecasted FS'!O6</f>
        <v>2025</v>
      </c>
      <c r="I6" s="198">
        <f>'Historical &amp; Forecasted FS'!P6</f>
        <v>2026</v>
      </c>
      <c r="J6" s="198">
        <f>'Historical &amp; Forecasted FS'!Q6</f>
        <v>2027</v>
      </c>
      <c r="K6" s="198">
        <f>'Historical &amp; Forecasted FS'!R6</f>
        <v>2028</v>
      </c>
    </row>
    <row r="8" spans="2:12" x14ac:dyDescent="0.35">
      <c r="B8" t="s">
        <v>85</v>
      </c>
      <c r="F8" s="44">
        <f>'Historical &amp; Forecasted FS'!L23</f>
        <v>114301</v>
      </c>
      <c r="G8" s="44">
        <f>'Historical &amp; Forecasted FS'!N23</f>
        <v>125971.8677</v>
      </c>
      <c r="H8" s="44">
        <f>'Historical &amp; Forecasted FS'!O23</f>
        <v>140195.12174272726</v>
      </c>
      <c r="I8" s="44">
        <f>'Historical &amp; Forecasted FS'!P23</f>
        <v>158259.5124071546</v>
      </c>
      <c r="J8" s="44">
        <f>'Historical &amp; Forecasted FS'!Q23</f>
        <v>179875.12533397734</v>
      </c>
      <c r="K8" s="44">
        <f>'Historical &amp; Forecasted FS'!R23</f>
        <v>205689.42982860011</v>
      </c>
      <c r="L8" s="44"/>
    </row>
    <row r="9" spans="2:12" x14ac:dyDescent="0.35">
      <c r="B9" t="s">
        <v>292</v>
      </c>
      <c r="F9" s="4">
        <f>WACC!F14</f>
        <v>0.1472</v>
      </c>
      <c r="G9" s="4">
        <f>F9</f>
        <v>0.1472</v>
      </c>
      <c r="H9" s="4">
        <f>G9</f>
        <v>0.1472</v>
      </c>
      <c r="I9" s="4">
        <f t="shared" ref="I9:J10" si="0">H9</f>
        <v>0.1472</v>
      </c>
      <c r="J9" s="4">
        <f t="shared" si="0"/>
        <v>0.1472</v>
      </c>
      <c r="K9" s="4">
        <f>J9</f>
        <v>0.1472</v>
      </c>
    </row>
    <row r="10" spans="2:12" x14ac:dyDescent="0.35">
      <c r="B10" t="s">
        <v>361</v>
      </c>
      <c r="F10" s="4">
        <f>'Intrinsic Growth'!$J$52</f>
        <v>0.16769200955871727</v>
      </c>
      <c r="G10" s="4">
        <f>F10</f>
        <v>0.16769200955871727</v>
      </c>
      <c r="H10" s="4">
        <f t="shared" ref="H10" si="1">G10</f>
        <v>0.16769200955871727</v>
      </c>
      <c r="I10" s="4">
        <f t="shared" si="0"/>
        <v>0.16769200955871727</v>
      </c>
      <c r="J10" s="4">
        <f t="shared" si="0"/>
        <v>0.16769200955871727</v>
      </c>
      <c r="K10" s="4">
        <f t="shared" ref="K10" si="2">J10</f>
        <v>0.16769200955871727</v>
      </c>
    </row>
    <row r="11" spans="2:12" x14ac:dyDescent="0.35">
      <c r="B11" t="s">
        <v>588</v>
      </c>
      <c r="F11" s="44">
        <f>'Historical &amp; Forecasted FS'!L26</f>
        <v>11519</v>
      </c>
      <c r="G11" s="44">
        <f>'Historical &amp; Forecasted FS'!N26</f>
        <v>12531.866666666667</v>
      </c>
      <c r="H11" s="44">
        <f>'Historical &amp; Forecasted FS'!O26</f>
        <v>12885.333333333332</v>
      </c>
      <c r="I11" s="44">
        <f>'Historical &amp; Forecasted FS'!P26</f>
        <v>12885</v>
      </c>
      <c r="J11" s="44">
        <f>'Historical &amp; Forecasted FS'!Q26</f>
        <v>12885</v>
      </c>
      <c r="K11" s="44">
        <f>'Historical &amp; Forecasted FS'!R26</f>
        <v>12885</v>
      </c>
    </row>
    <row r="12" spans="2:12" x14ac:dyDescent="0.35">
      <c r="B12" t="s">
        <v>589</v>
      </c>
      <c r="F12" s="44">
        <f>('Historical &amp; Forecasted FS'!L72-'Historical &amp; Forecasted FS'!L90)-('Historical &amp; Forecasted FS'!K72-'Historical &amp; Forecasted FS'!K90)</f>
        <v>16835</v>
      </c>
      <c r="G12" s="44">
        <f>'Historical &amp; Forecasted FS'!N72-'Historical &amp; Forecasted FS'!N90-('Historical &amp; Forecasted FS'!L72-'Historical &amp; Forecasted FS'!L90)</f>
        <v>10985.273214278714</v>
      </c>
      <c r="H12" s="44">
        <f>'Historical &amp; Forecasted FS'!O72-'Historical &amp; Forecasted FS'!O90-('Historical &amp; Forecasted FS'!N72-'Historical &amp; Forecasted FS'!N90)</f>
        <v>8795.3273214278743</v>
      </c>
      <c r="I12" s="44">
        <f>'Historical &amp; Forecasted FS'!P72-'Historical &amp; Forecasted FS'!P90-('Historical &amp; Forecasted FS'!O72-'Historical &amp; Forecasted FS'!O90)</f>
        <v>8540.4997085304349</v>
      </c>
      <c r="J12" s="44">
        <f>'Historical &amp; Forecasted FS'!Q72-'Historical &amp; Forecasted FS'!Q90-('Historical &amp; Forecasted FS'!P72-'Historical &amp; Forecasted FS'!P90)</f>
        <v>11562.746528087271</v>
      </c>
      <c r="K12" s="44">
        <f>'Historical &amp; Forecasted FS'!R72-'Historical &amp; Forecasted FS'!R90-('Historical &amp; Forecasted FS'!Q72-'Historical &amp; Forecasted FS'!Q90)</f>
        <v>14022.22161267887</v>
      </c>
    </row>
    <row r="13" spans="2:12" x14ac:dyDescent="0.35">
      <c r="B13" t="s">
        <v>590</v>
      </c>
      <c r="F13" s="44">
        <f>-'Historical &amp; Forecasted FS'!L128</f>
        <v>10959</v>
      </c>
      <c r="G13" s="44">
        <f>-'Historical &amp; Forecasted FS'!N128</f>
        <v>11258</v>
      </c>
      <c r="H13" s="44">
        <f>-'Historical &amp; Forecasted FS'!O128</f>
        <v>12768</v>
      </c>
      <c r="I13" s="44">
        <f>-'Historical &amp; Forecasted FS'!P128</f>
        <v>13282</v>
      </c>
      <c r="J13" s="44">
        <f>-'Historical &amp; Forecasted FS'!Q128</f>
        <v>15576</v>
      </c>
      <c r="K13" s="44">
        <f>-'Historical &amp; Forecasted FS'!R128</f>
        <v>18765</v>
      </c>
    </row>
    <row r="14" spans="2:12" x14ac:dyDescent="0.35">
      <c r="B14" t="s">
        <v>360</v>
      </c>
      <c r="F14" s="44">
        <f>(F8*(1-F9))+F11-F12-F13</f>
        <v>81200.892800000001</v>
      </c>
      <c r="G14" s="44">
        <f t="shared" ref="G14:K14" si="3">(G8*(1-G9))+G11-G12-G13</f>
        <v>97717.402226947961</v>
      </c>
      <c r="H14" s="44">
        <f t="shared" si="3"/>
        <v>110880.40583410327</v>
      </c>
      <c r="I14" s="44">
        <f t="shared" si="3"/>
        <v>126026.21247229102</v>
      </c>
      <c r="J14" s="44">
        <f t="shared" si="3"/>
        <v>139143.7603567286</v>
      </c>
      <c r="K14" s="44">
        <f t="shared" si="3"/>
        <v>155509.7241451513</v>
      </c>
    </row>
    <row r="15" spans="2:12" x14ac:dyDescent="0.35">
      <c r="B15" t="s">
        <v>364</v>
      </c>
      <c r="F15" s="44"/>
      <c r="G15" s="86">
        <v>0.5</v>
      </c>
      <c r="H15">
        <f>G15+1</f>
        <v>1.5</v>
      </c>
      <c r="I15">
        <f t="shared" ref="I15:J15" si="4">H15+1</f>
        <v>2.5</v>
      </c>
      <c r="J15">
        <f t="shared" si="4"/>
        <v>3.5</v>
      </c>
      <c r="K15">
        <f>J15+1</f>
        <v>4.5</v>
      </c>
    </row>
    <row r="16" spans="2:12" x14ac:dyDescent="0.35">
      <c r="B16" t="s">
        <v>365</v>
      </c>
      <c r="F16" s="44"/>
      <c r="G16" s="49">
        <f>1/(1+$E$21)^G15</f>
        <v>0.95720723967237675</v>
      </c>
      <c r="H16" s="49">
        <f>1/(1+$E$21)^H15</f>
        <v>0.8770370170535372</v>
      </c>
      <c r="I16" s="49">
        <f>1/(1+$E$21)^I15</f>
        <v>0.80358139533654038</v>
      </c>
      <c r="J16" s="49">
        <f>1/(1+$E$21)^J15</f>
        <v>0.73627799782093195</v>
      </c>
      <c r="K16" s="49">
        <f>1/(1+$E$21)^K15</f>
        <v>0.6746115492733209</v>
      </c>
      <c r="L16" s="49"/>
    </row>
    <row r="17" spans="2:11" ht="15" thickBot="1" x14ac:dyDescent="0.4">
      <c r="B17" s="104" t="s">
        <v>362</v>
      </c>
      <c r="C17" s="107"/>
      <c r="D17" s="107"/>
      <c r="E17" s="107"/>
      <c r="F17" s="104"/>
      <c r="G17" s="105">
        <f>G14*G16</f>
        <v>93535.804853612222</v>
      </c>
      <c r="H17" s="105">
        <f>H14*H16</f>
        <v>97246.220382427549</v>
      </c>
      <c r="I17" s="105">
        <f>I14*I16</f>
        <v>101272.31966746293</v>
      </c>
      <c r="J17" s="105">
        <f t="shared" ref="J17" si="5">J14*J16</f>
        <v>102448.48928472769</v>
      </c>
      <c r="K17" s="105">
        <f>K14*K16</f>
        <v>104908.65593262727</v>
      </c>
    </row>
    <row r="18" spans="2:11" ht="15" thickTop="1" x14ac:dyDescent="0.35"/>
    <row r="19" spans="2:11" outlineLevel="1" x14ac:dyDescent="0.35">
      <c r="B19" s="69" t="s">
        <v>445</v>
      </c>
      <c r="C19" s="69"/>
      <c r="D19" s="69"/>
      <c r="E19" s="115">
        <v>8.4500000000000006E-2</v>
      </c>
    </row>
    <row r="20" spans="2:11" outlineLevel="1" x14ac:dyDescent="0.35">
      <c r="B20" s="69" t="s">
        <v>368</v>
      </c>
      <c r="C20" s="69"/>
      <c r="D20" s="69"/>
      <c r="E20" s="115">
        <v>2.12E-2</v>
      </c>
    </row>
    <row r="21" spans="2:11" outlineLevel="1" x14ac:dyDescent="0.35">
      <c r="B21" s="69" t="s">
        <v>363</v>
      </c>
      <c r="C21" s="69"/>
      <c r="D21" s="69"/>
      <c r="E21" s="87">
        <f>WACC!J44</f>
        <v>9.1410306589083903E-2</v>
      </c>
    </row>
    <row r="23" spans="2:11" x14ac:dyDescent="0.35">
      <c r="B23" s="238" t="s">
        <v>366</v>
      </c>
      <c r="C23" s="238"/>
      <c r="D23" s="238"/>
      <c r="E23" s="238"/>
    </row>
    <row r="25" spans="2:11" x14ac:dyDescent="0.35">
      <c r="B25" t="s">
        <v>367</v>
      </c>
      <c r="E25" s="44">
        <f>K14*(1+E20)</f>
        <v>158806.53029702851</v>
      </c>
    </row>
    <row r="26" spans="2:11" x14ac:dyDescent="0.35">
      <c r="B26" t="s">
        <v>363</v>
      </c>
      <c r="E26" s="3">
        <f>E21</f>
        <v>9.1410306589083903E-2</v>
      </c>
    </row>
    <row r="27" spans="2:11" x14ac:dyDescent="0.35">
      <c r="B27" t="s">
        <v>368</v>
      </c>
      <c r="E27" s="3">
        <f>E20</f>
        <v>2.12E-2</v>
      </c>
    </row>
    <row r="28" spans="2:11" ht="15" thickBot="1" x14ac:dyDescent="0.4">
      <c r="B28" s="104" t="s">
        <v>369</v>
      </c>
      <c r="C28" s="104"/>
      <c r="D28" s="104"/>
      <c r="E28" s="105">
        <f>E25/(E26-E27)</f>
        <v>2261869.2042817441</v>
      </c>
    </row>
    <row r="29" spans="2:11" ht="15" thickTop="1" x14ac:dyDescent="0.35"/>
    <row r="30" spans="2:11" x14ac:dyDescent="0.35">
      <c r="B30" s="238" t="s">
        <v>376</v>
      </c>
      <c r="C30" s="238"/>
      <c r="D30" s="238"/>
      <c r="E30" s="238"/>
      <c r="G30" s="230" t="s">
        <v>443</v>
      </c>
      <c r="H30" s="230"/>
      <c r="I30" s="230"/>
      <c r="J30" s="230"/>
      <c r="K30" s="230"/>
    </row>
    <row r="31" spans="2:11" x14ac:dyDescent="0.35">
      <c r="G31" s="142">
        <f>E34</f>
        <v>2025294.5782749786</v>
      </c>
      <c r="H31" s="145">
        <v>7.0000000000000007E-2</v>
      </c>
      <c r="I31" s="146">
        <f>WACC!J44</f>
        <v>9.1410306589083903E-2</v>
      </c>
      <c r="J31" s="145">
        <v>0.11</v>
      </c>
      <c r="K31" s="145">
        <v>0.13</v>
      </c>
    </row>
    <row r="32" spans="2:11" x14ac:dyDescent="0.35">
      <c r="B32" t="s">
        <v>362</v>
      </c>
      <c r="E32" s="44">
        <f>SUM(G17:K17)</f>
        <v>499411.49012085772</v>
      </c>
      <c r="G32" s="143">
        <v>0.01</v>
      </c>
      <c r="H32" s="44">
        <f t="dataTable" ref="H32:K36" dt2D="1" dtr="1" r1="E21" r2="E27"/>
        <v>2477603.3803768484</v>
      </c>
      <c r="I32" s="44">
        <v>1815371.6421830307</v>
      </c>
      <c r="J32" s="44">
        <v>1471368.5469930996</v>
      </c>
      <c r="K32" s="44">
        <v>1221063.0152998976</v>
      </c>
    </row>
    <row r="33" spans="2:11" x14ac:dyDescent="0.35">
      <c r="B33" t="s">
        <v>372</v>
      </c>
      <c r="E33" s="44">
        <f>E28*K16</f>
        <v>1525883.0881541208</v>
      </c>
      <c r="G33" s="143">
        <v>0.02</v>
      </c>
      <c r="H33" s="44">
        <v>2868012.6339033199</v>
      </c>
      <c r="I33" s="44">
        <v>1999653.1856911127</v>
      </c>
      <c r="J33" s="44">
        <v>1581693.1677281642</v>
      </c>
      <c r="K33" s="44">
        <v>1290476.1136604145</v>
      </c>
    </row>
    <row r="34" spans="2:11" x14ac:dyDescent="0.35">
      <c r="B34" s="1" t="s">
        <v>373</v>
      </c>
      <c r="C34" s="1"/>
      <c r="D34" s="1"/>
      <c r="E34" s="100">
        <f>SUM(E32:E33)</f>
        <v>2025294.5782749786</v>
      </c>
      <c r="G34" s="144">
        <f>E20</f>
        <v>2.12E-2</v>
      </c>
      <c r="H34" s="44">
        <v>2925613.9991777167</v>
      </c>
      <c r="I34" s="147">
        <v>2025294.5782749786</v>
      </c>
      <c r="J34" s="44">
        <v>1596601.9002599292</v>
      </c>
      <c r="K34" s="44">
        <v>1299663.1413846004</v>
      </c>
    </row>
    <row r="35" spans="2:11" x14ac:dyDescent="0.35">
      <c r="G35" s="143">
        <v>0.03</v>
      </c>
      <c r="H35" s="44">
        <v>3453626.5141930263</v>
      </c>
      <c r="I35" s="44">
        <v>2243951.2162495423</v>
      </c>
      <c r="J35" s="44">
        <v>1719598.9436469944</v>
      </c>
      <c r="K35" s="44">
        <v>1373771.8316930344</v>
      </c>
    </row>
    <row r="36" spans="2:11" x14ac:dyDescent="0.35">
      <c r="B36" t="s">
        <v>374</v>
      </c>
      <c r="E36" s="44">
        <f>'Historical &amp; Forecasted FS'!L64</f>
        <v>30737</v>
      </c>
      <c r="G36" s="143">
        <v>0.04</v>
      </c>
      <c r="H36" s="44">
        <v>4429649.6480092043</v>
      </c>
      <c r="I36" s="44">
        <v>2583287.7893753494</v>
      </c>
      <c r="J36" s="44">
        <v>1896906.3698283471</v>
      </c>
      <c r="K36" s="44">
        <v>1475577.7092884588</v>
      </c>
    </row>
    <row r="37" spans="2:11" x14ac:dyDescent="0.35">
      <c r="B37" t="s">
        <v>375</v>
      </c>
      <c r="E37" s="44">
        <f>SUM('Historical &amp; Forecasted FS'!L85:L87,'Historical &amp; Forecasted FS'!L92:L93)</f>
        <v>123930</v>
      </c>
    </row>
    <row r="38" spans="2:11" x14ac:dyDescent="0.35">
      <c r="B38" s="1" t="s">
        <v>377</v>
      </c>
      <c r="C38" s="1"/>
      <c r="D38" s="1"/>
      <c r="E38" s="100">
        <f>SUM(E34:E36)-E37</f>
        <v>1932101.5782749786</v>
      </c>
      <c r="F38" s="44"/>
    </row>
    <row r="39" spans="2:11" x14ac:dyDescent="0.35">
      <c r="B39" t="s">
        <v>378</v>
      </c>
      <c r="E39" s="8">
        <v>15465</v>
      </c>
    </row>
    <row r="40" spans="2:11" ht="15" thickBot="1" x14ac:dyDescent="0.4">
      <c r="B40" s="104" t="s">
        <v>379</v>
      </c>
      <c r="C40" s="104"/>
      <c r="D40" s="104"/>
      <c r="E40" s="215">
        <f>E38/E39</f>
        <v>124.93382336081336</v>
      </c>
    </row>
    <row r="41" spans="2:11" ht="15" thickTop="1" x14ac:dyDescent="0.35">
      <c r="E41" s="12"/>
    </row>
    <row r="42" spans="2:11" x14ac:dyDescent="0.35">
      <c r="B42" s="69" t="s">
        <v>380</v>
      </c>
      <c r="C42" s="69"/>
      <c r="D42" s="69"/>
      <c r="E42" s="73">
        <v>186.28</v>
      </c>
    </row>
    <row r="43" spans="2:11" x14ac:dyDescent="0.35">
      <c r="B43" s="69" t="s">
        <v>381</v>
      </c>
      <c r="C43" s="69"/>
      <c r="D43" s="69"/>
      <c r="E43" s="117">
        <f>E42/E40</f>
        <v>1.4910293705013469</v>
      </c>
    </row>
    <row r="45" spans="2:11" x14ac:dyDescent="0.35">
      <c r="B45" s="90" t="s">
        <v>323</v>
      </c>
    </row>
    <row r="46" spans="2:11" x14ac:dyDescent="0.35">
      <c r="B46" s="112" t="s">
        <v>370</v>
      </c>
    </row>
    <row r="47" spans="2:11" x14ac:dyDescent="0.35">
      <c r="B47" s="114" t="s">
        <v>371</v>
      </c>
    </row>
    <row r="48" spans="2:11" x14ac:dyDescent="0.35">
      <c r="B48" s="113" t="s">
        <v>444</v>
      </c>
    </row>
  </sheetData>
  <sheetProtection password="CC0B" sheet="1" objects="1" scenarios="1" selectLockedCells="0" selectUnlockedCells="1"/>
  <mergeCells count="3">
    <mergeCell ref="G30:K30"/>
    <mergeCell ref="B23:E23"/>
    <mergeCell ref="B30:E30"/>
  </mergeCells>
  <hyperlinks>
    <hyperlink ref="B46" r:id="rId1" display="1. Reinvestment rate of 28.74% is the industry average of Software (Systems &amp; Applications)" xr:uid="{C6B5C9CC-474D-4BD4-909C-36C332392351}"/>
    <hyperlink ref="B47" r:id="rId2" display="2. Expected Growth rate is the average expected growth in EBIT of the Software (Systems &amp; Applications) found under &quot;Fundamental GR in EBIT of Industry&quot; as provided by Ashwath Damodaran" xr:uid="{2B8B2CC5-F82F-4786-9334-15380CFC9D96}"/>
    <hyperlink ref="B48" r:id="rId3" display="3. Terminal Growth rate is the long-term GDP growth of USA, by IMF" xr:uid="{5E9ED585-CC98-4EA4-8870-5B3C680DD2EB}"/>
  </hyperlinks>
  <pageMargins left="0.25" right="0.25" top="0.75" bottom="0.75" header="0.3" footer="0.3"/>
  <pageSetup paperSize="9" scale="80" orientation="portrait" horizontalDpi="4294967293" verticalDpi="0" r:id="rId4"/>
  <drawing r:id="rId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EFC2E4-493C-44A0-985E-5CF4CFDDB062}">
  <sheetPr>
    <pageSetUpPr fitToPage="1"/>
  </sheetPr>
  <dimension ref="B6:Q36"/>
  <sheetViews>
    <sheetView showGridLines="0" workbookViewId="0">
      <selection activeCell="R16" sqref="R16"/>
    </sheetView>
  </sheetViews>
  <sheetFormatPr defaultRowHeight="14.5" x14ac:dyDescent="0.35"/>
  <cols>
    <col min="1" max="1" width="1.81640625" customWidth="1"/>
    <col min="2" max="3" width="8.7265625" customWidth="1"/>
    <col min="5" max="17" width="11.1796875" customWidth="1"/>
  </cols>
  <sheetData>
    <row r="6" spans="2:17" x14ac:dyDescent="0.35">
      <c r="B6" s="231" t="str">
        <f>"Comparable Company Valuation -"&amp; " "&amp;'Data Sheet'!$A$4</f>
        <v>Comparable Company Valuation - Apple Inc.</v>
      </c>
      <c r="C6" s="231"/>
      <c r="D6" s="231"/>
      <c r="E6" s="231"/>
      <c r="F6" s="231"/>
      <c r="G6" s="231"/>
      <c r="H6" s="231"/>
      <c r="I6" s="231"/>
      <c r="J6" s="231"/>
      <c r="K6" s="231"/>
      <c r="L6" s="231"/>
      <c r="M6" s="231"/>
      <c r="N6" s="231"/>
      <c r="O6" s="231"/>
      <c r="P6" s="231"/>
      <c r="Q6" s="231"/>
    </row>
    <row r="8" spans="2:17" x14ac:dyDescent="0.35">
      <c r="B8" s="202"/>
      <c r="C8" s="202"/>
      <c r="D8" s="202"/>
      <c r="E8" s="239" t="s">
        <v>389</v>
      </c>
      <c r="F8" s="239"/>
      <c r="G8" s="239"/>
      <c r="H8" s="239"/>
      <c r="I8" s="239"/>
      <c r="J8" s="209"/>
      <c r="K8" s="239" t="s">
        <v>390</v>
      </c>
      <c r="L8" s="239"/>
      <c r="M8" s="239"/>
      <c r="N8" s="209"/>
      <c r="O8" s="240" t="s">
        <v>391</v>
      </c>
      <c r="P8" s="240"/>
      <c r="Q8" s="240"/>
    </row>
    <row r="9" spans="2:17" ht="29" x14ac:dyDescent="0.35">
      <c r="B9" s="210" t="s">
        <v>386</v>
      </c>
      <c r="C9" s="210"/>
      <c r="D9" s="210" t="s">
        <v>387</v>
      </c>
      <c r="E9" s="211" t="s">
        <v>380</v>
      </c>
      <c r="F9" s="211" t="s">
        <v>388</v>
      </c>
      <c r="G9" s="211" t="s">
        <v>377</v>
      </c>
      <c r="H9" s="211" t="s">
        <v>195</v>
      </c>
      <c r="I9" s="211" t="s">
        <v>373</v>
      </c>
      <c r="J9" s="211"/>
      <c r="K9" s="211" t="s">
        <v>0</v>
      </c>
      <c r="L9" s="211" t="s">
        <v>3</v>
      </c>
      <c r="M9" s="211" t="s">
        <v>5</v>
      </c>
      <c r="N9" s="210"/>
      <c r="O9" s="210" t="s">
        <v>432</v>
      </c>
      <c r="P9" s="210" t="s">
        <v>433</v>
      </c>
      <c r="Q9" s="210" t="s">
        <v>434</v>
      </c>
    </row>
    <row r="10" spans="2:17" x14ac:dyDescent="0.35">
      <c r="B10" s="69" t="s">
        <v>7</v>
      </c>
      <c r="C10" s="69"/>
      <c r="D10" s="69" t="s">
        <v>435</v>
      </c>
      <c r="E10" s="129">
        <f>'Data Sheet'!G286</f>
        <v>189.75</v>
      </c>
      <c r="F10" s="130">
        <f>'Data Sheet'!F286</f>
        <v>15441.9</v>
      </c>
      <c r="G10" s="129">
        <f>F10*E10</f>
        <v>2930100.5249999999</v>
      </c>
      <c r="H10" s="129">
        <f>'Data Sheet'!E286</f>
        <v>-38169</v>
      </c>
      <c r="I10" s="129">
        <f>'Data Sheet'!H286</f>
        <v>2836524.8</v>
      </c>
      <c r="J10" s="129"/>
      <c r="K10" s="129">
        <f>'Data Sheet'!I286</f>
        <v>385706</v>
      </c>
      <c r="L10" s="129">
        <f>'Data Sheet'!K286*'Data Sheet'!I286</f>
        <v>129982.92200000001</v>
      </c>
      <c r="M10" s="129">
        <f>'Data Sheet'!J286</f>
        <v>100913</v>
      </c>
      <c r="N10" s="69"/>
      <c r="O10" s="131">
        <f>$I10/$K10</f>
        <v>7.3541111623879321</v>
      </c>
      <c r="P10" s="131">
        <f>$I10/$L10</f>
        <v>21.822288315691193</v>
      </c>
      <c r="Q10" s="131">
        <f>$G10/$M10</f>
        <v>29.035907415298325</v>
      </c>
    </row>
    <row r="11" spans="2:17" x14ac:dyDescent="0.35">
      <c r="B11" t="s">
        <v>302</v>
      </c>
      <c r="D11" t="s">
        <v>407</v>
      </c>
      <c r="E11" s="126">
        <f>'Data Sheet'!G276</f>
        <v>170.34</v>
      </c>
      <c r="F11" s="128">
        <f>'Data Sheet'!F276</f>
        <v>12377</v>
      </c>
      <c r="G11" s="126">
        <f>E11*F11</f>
        <v>2108298.1800000002</v>
      </c>
      <c r="H11" s="127">
        <f>'Data Sheet'!E276</f>
        <v>-81049</v>
      </c>
      <c r="I11" s="127">
        <f>'Data Sheet'!H276</f>
        <v>2037514.3</v>
      </c>
      <c r="K11" s="127">
        <f>'Data Sheet'!I276</f>
        <v>307394</v>
      </c>
      <c r="L11" s="127">
        <f>'Data Sheet'!K276*'Data Sheet'!I276</f>
        <v>100210.444</v>
      </c>
      <c r="M11" s="127">
        <f>'Data Sheet'!J276</f>
        <v>73795</v>
      </c>
      <c r="O11" s="62">
        <f>$I11/$K11</f>
        <v>6.6283476580544836</v>
      </c>
      <c r="P11" s="62">
        <f>$I11/$L11</f>
        <v>20.332354779308233</v>
      </c>
      <c r="Q11" s="62">
        <f>$G11/$M11</f>
        <v>28.569661630191749</v>
      </c>
    </row>
    <row r="12" spans="2:17" x14ac:dyDescent="0.35">
      <c r="B12" t="s">
        <v>338</v>
      </c>
      <c r="D12" t="s">
        <v>408</v>
      </c>
      <c r="E12" s="126">
        <f>'Data Sheet'!G277</f>
        <v>423.3</v>
      </c>
      <c r="F12" s="128">
        <f>'Data Sheet'!F277</f>
        <v>7432.3</v>
      </c>
      <c r="G12" s="126">
        <f t="shared" ref="G12:G17" si="0">E12*F12</f>
        <v>3146092.5900000003</v>
      </c>
      <c r="H12" s="127">
        <f>'Data Sheet'!E277</f>
        <v>-31815</v>
      </c>
      <c r="I12" s="127">
        <f>'Data Sheet'!H277</f>
        <v>3122217.3</v>
      </c>
      <c r="K12" s="127">
        <f>'Data Sheet'!I277</f>
        <v>227583</v>
      </c>
      <c r="L12" s="127">
        <f>'Data Sheet'!K277*'Data Sheet'!I277</f>
        <v>118343.16</v>
      </c>
      <c r="M12" s="127">
        <f>'Data Sheet'!J277</f>
        <v>82541</v>
      </c>
      <c r="O12" s="62">
        <f t="shared" ref="O12:O17" si="1">$I12/$K12</f>
        <v>13.719026904470017</v>
      </c>
      <c r="P12" s="62">
        <f t="shared" ref="P12:P17" si="2">$I12/$L12</f>
        <v>26.382744047057724</v>
      </c>
      <c r="Q12" s="62">
        <f t="shared" ref="Q12:Q17" si="3">$G12/$M12</f>
        <v>38.115513381228723</v>
      </c>
    </row>
    <row r="13" spans="2:17" x14ac:dyDescent="0.35">
      <c r="B13" t="s">
        <v>383</v>
      </c>
      <c r="D13" t="s">
        <v>406</v>
      </c>
      <c r="E13" s="126">
        <f>'Data Sheet'!G279</f>
        <v>186.12</v>
      </c>
      <c r="F13" s="128">
        <f>'Data Sheet'!F279</f>
        <v>10406.6</v>
      </c>
      <c r="G13" s="126">
        <f t="shared" si="0"/>
        <v>1936876.3920000002</v>
      </c>
      <c r="H13" s="127">
        <f>'Data Sheet'!E279</f>
        <v>74794</v>
      </c>
      <c r="I13" s="127">
        <f>'Data Sheet'!H279</f>
        <v>2022253.8</v>
      </c>
      <c r="K13" s="127">
        <f>'Data Sheet'!I279</f>
        <v>574785</v>
      </c>
      <c r="L13" s="127">
        <f>'Data Sheet'!K279*'Data Sheet'!I279</f>
        <v>85642.964999999997</v>
      </c>
      <c r="M13" s="127">
        <f>'Data Sheet'!J279</f>
        <v>30425</v>
      </c>
      <c r="O13" s="62">
        <f t="shared" si="1"/>
        <v>3.5182786607166157</v>
      </c>
      <c r="P13" s="62">
        <f t="shared" si="2"/>
        <v>23.612608461185342</v>
      </c>
      <c r="Q13" s="62">
        <f t="shared" si="3"/>
        <v>63.660686672144628</v>
      </c>
    </row>
    <row r="14" spans="2:17" x14ac:dyDescent="0.35">
      <c r="B14" t="s">
        <v>402</v>
      </c>
      <c r="D14" t="s">
        <v>409</v>
      </c>
      <c r="E14" s="126">
        <f>'Data Sheet'!G280</f>
        <v>57.86</v>
      </c>
      <c r="F14" s="128">
        <f>'Data Sheet'!F280</f>
        <v>6792.7</v>
      </c>
      <c r="G14" s="126">
        <f t="shared" si="0"/>
        <v>393025.62199999997</v>
      </c>
      <c r="H14" s="127">
        <f>'Data Sheet'!E280</f>
        <v>-58910.1</v>
      </c>
      <c r="I14" s="127">
        <f>'Data Sheet'!H280</f>
        <v>324119.8</v>
      </c>
      <c r="K14" s="127">
        <f>'Data Sheet'!I280</f>
        <v>191340.6</v>
      </c>
      <c r="L14" s="127">
        <f>'Data Sheet'!K280*'Data Sheet'!I280</f>
        <v>32527.902000000002</v>
      </c>
      <c r="M14" s="127">
        <f>'Data Sheet'!J280</f>
        <v>10695.1</v>
      </c>
      <c r="O14" s="62">
        <f t="shared" si="1"/>
        <v>1.6939415889779794</v>
      </c>
      <c r="P14" s="62">
        <f t="shared" si="2"/>
        <v>9.964362288105761</v>
      </c>
      <c r="Q14" s="62">
        <f>$G14/$M14</f>
        <v>36.748195154790508</v>
      </c>
    </row>
    <row r="15" spans="2:17" x14ac:dyDescent="0.35">
      <c r="B15" t="s">
        <v>400</v>
      </c>
      <c r="D15" t="s">
        <v>403</v>
      </c>
      <c r="E15" s="126">
        <f>'Data Sheet'!G281</f>
        <v>31.36</v>
      </c>
      <c r="F15" s="128">
        <f>'Data Sheet'!F281</f>
        <v>978.5</v>
      </c>
      <c r="G15" s="126">
        <f t="shared" si="0"/>
        <v>30685.759999999998</v>
      </c>
      <c r="H15" s="127">
        <f>'Data Sheet'!E281</f>
        <v>7565</v>
      </c>
      <c r="I15" s="127">
        <f>'Data Sheet'!H281</f>
        <v>39202.199999999997</v>
      </c>
      <c r="K15" s="127">
        <f>'Data Sheet'!I281</f>
        <v>53105</v>
      </c>
      <c r="L15" s="127">
        <f>'Data Sheet'!K281*'Data Sheet'!I281</f>
        <v>5204.29</v>
      </c>
      <c r="M15" s="127">
        <f>'Data Sheet'!J281</f>
        <v>3416</v>
      </c>
      <c r="O15" s="62">
        <f t="shared" si="1"/>
        <v>0.73820167592505403</v>
      </c>
      <c r="P15" s="62">
        <f t="shared" si="2"/>
        <v>7.5326701625005521</v>
      </c>
      <c r="Q15" s="62">
        <f>$G15/$M15</f>
        <v>8.9829508196721299</v>
      </c>
    </row>
    <row r="16" spans="2:17" x14ac:dyDescent="0.35">
      <c r="B16" t="s">
        <v>431</v>
      </c>
      <c r="D16" t="s">
        <v>405</v>
      </c>
      <c r="E16" s="126">
        <f>'Data Sheet'!G282</f>
        <v>149.16</v>
      </c>
      <c r="F16" s="128">
        <f>'Data Sheet'!F282</f>
        <v>713.8</v>
      </c>
      <c r="G16" s="126">
        <f t="shared" si="0"/>
        <v>106470.408</v>
      </c>
      <c r="H16" s="127">
        <f>'Data Sheet'!E282</f>
        <v>19485</v>
      </c>
      <c r="I16" s="127">
        <f>'Data Sheet'!H282</f>
        <v>126049</v>
      </c>
      <c r="K16" s="127">
        <f>'Data Sheet'!I282</f>
        <v>88425</v>
      </c>
      <c r="L16" s="127">
        <f>'Data Sheet'!K282*'Data Sheet'!I282</f>
        <v>8754.0750000000007</v>
      </c>
      <c r="M16" s="127">
        <f>'Data Sheet'!J282</f>
        <v>3211</v>
      </c>
      <c r="O16" s="62">
        <f t="shared" si="1"/>
        <v>1.4254905286966355</v>
      </c>
      <c r="P16" s="62">
        <f t="shared" si="2"/>
        <v>14.398894229258945</v>
      </c>
      <c r="Q16" s="62">
        <f t="shared" si="3"/>
        <v>33.158021800062286</v>
      </c>
    </row>
    <row r="17" spans="2:17" x14ac:dyDescent="0.35">
      <c r="B17" t="s">
        <v>401</v>
      </c>
      <c r="D17" t="s">
        <v>404</v>
      </c>
      <c r="E17" s="126">
        <f>'Data Sheet'!G283</f>
        <v>48.88</v>
      </c>
      <c r="F17" s="128">
        <f>'Data Sheet'!F283</f>
        <v>9281.2000000000007</v>
      </c>
      <c r="G17" s="126">
        <f t="shared" si="0"/>
        <v>453665.05600000004</v>
      </c>
      <c r="H17" s="127">
        <f>'Data Sheet'!E283</f>
        <v>-1096</v>
      </c>
      <c r="I17" s="127">
        <f>'Data Sheet'!H283</f>
        <v>456885</v>
      </c>
      <c r="K17" s="127">
        <f>'Data Sheet'!I283</f>
        <v>84328.9</v>
      </c>
      <c r="L17" s="127">
        <f>'Data Sheet'!K283*'Data Sheet'!I283</f>
        <v>25467.327799999999</v>
      </c>
      <c r="M17" s="127">
        <f>'Data Sheet'!J283</f>
        <v>15953.7</v>
      </c>
      <c r="O17" s="62">
        <f t="shared" si="1"/>
        <v>5.4178935098169196</v>
      </c>
      <c r="P17" s="62">
        <f t="shared" si="2"/>
        <v>17.94004473449311</v>
      </c>
      <c r="Q17" s="62">
        <f t="shared" si="3"/>
        <v>28.436353698515081</v>
      </c>
    </row>
    <row r="19" spans="2:17" x14ac:dyDescent="0.35">
      <c r="B19" s="133" t="s">
        <v>429</v>
      </c>
      <c r="C19" s="134"/>
      <c r="D19" s="134"/>
      <c r="E19" s="134"/>
      <c r="F19" s="134"/>
      <c r="G19" s="134"/>
      <c r="H19" s="134"/>
      <c r="I19" s="134"/>
      <c r="J19" s="134"/>
      <c r="K19" s="134"/>
      <c r="L19" s="134"/>
      <c r="M19" s="134"/>
      <c r="N19" s="134"/>
      <c r="O19" s="88">
        <f>MAX(O10:O17)</f>
        <v>13.719026904470017</v>
      </c>
      <c r="P19" s="88">
        <f>MAX(P10:P17)</f>
        <v>26.382744047057724</v>
      </c>
      <c r="Q19" s="88">
        <f>MAX(Q10:Q17)</f>
        <v>63.660686672144628</v>
      </c>
    </row>
    <row r="20" spans="2:17" x14ac:dyDescent="0.35">
      <c r="B20" s="135" t="s">
        <v>436</v>
      </c>
      <c r="C20" s="69"/>
      <c r="D20" s="69"/>
      <c r="E20" s="69"/>
      <c r="F20" s="69"/>
      <c r="G20" s="69"/>
      <c r="H20" s="69"/>
      <c r="I20" s="69"/>
      <c r="J20" s="69"/>
      <c r="K20" s="69"/>
      <c r="L20" s="69"/>
      <c r="M20" s="69"/>
      <c r="N20" s="69"/>
      <c r="O20" s="75">
        <f>QUARTILE(O10:O17,3)</f>
        <v>6.8097885341378461</v>
      </c>
      <c r="P20" s="75">
        <f>QUARTILE(P10:P17,3)</f>
        <v>22.26986835206473</v>
      </c>
      <c r="Q20" s="75">
        <f>QUARTILE(Q10:Q17,3)</f>
        <v>37.090024711400062</v>
      </c>
    </row>
    <row r="21" spans="2:17" x14ac:dyDescent="0.35">
      <c r="B21" s="136" t="s">
        <v>303</v>
      </c>
      <c r="C21" s="69"/>
      <c r="D21" s="109"/>
      <c r="E21" s="109"/>
      <c r="F21" s="109"/>
      <c r="G21" s="109"/>
      <c r="H21" s="109"/>
      <c r="I21" s="109"/>
      <c r="J21" s="109"/>
      <c r="K21" s="109"/>
      <c r="L21" s="109"/>
      <c r="M21" s="109"/>
      <c r="N21" s="109"/>
      <c r="O21" s="137">
        <f>AVERAGE(O10:O17)</f>
        <v>5.0619114611307046</v>
      </c>
      <c r="P21" s="137">
        <f>AVERAGE(P10:P17)</f>
        <v>17.748245877200109</v>
      </c>
      <c r="Q21" s="137">
        <f>AVERAGE(Q10:Q17)</f>
        <v>33.338411321487932</v>
      </c>
    </row>
    <row r="22" spans="2:17" x14ac:dyDescent="0.35">
      <c r="B22" s="136" t="s">
        <v>258</v>
      </c>
      <c r="C22" s="69"/>
      <c r="D22" s="109"/>
      <c r="E22" s="109"/>
      <c r="F22" s="109"/>
      <c r="G22" s="109"/>
      <c r="H22" s="109"/>
      <c r="I22" s="109"/>
      <c r="J22" s="109"/>
      <c r="K22" s="109"/>
      <c r="L22" s="109"/>
      <c r="M22" s="109"/>
      <c r="N22" s="109"/>
      <c r="O22" s="137">
        <f>QUARTILE(O10:O17,2)</f>
        <v>4.4680860852667674</v>
      </c>
      <c r="P22" s="137">
        <f>QUARTILE(P10:P17,2)</f>
        <v>19.136199756900673</v>
      </c>
      <c r="Q22" s="137">
        <f>QUARTILE(Q10:Q17,2)</f>
        <v>31.096964607680306</v>
      </c>
    </row>
    <row r="23" spans="2:17" x14ac:dyDescent="0.35">
      <c r="B23" s="135" t="s">
        <v>437</v>
      </c>
      <c r="C23" s="69"/>
      <c r="D23" s="69"/>
      <c r="E23" s="69"/>
      <c r="F23" s="69"/>
      <c r="G23" s="69"/>
      <c r="H23" s="69"/>
      <c r="I23" s="69"/>
      <c r="J23" s="69"/>
      <c r="K23" s="69"/>
      <c r="L23" s="69"/>
      <c r="M23" s="69"/>
      <c r="N23" s="69"/>
      <c r="O23" s="75">
        <f>QUARTILE(O10:O17,1)</f>
        <v>1.6268288239076434</v>
      </c>
      <c r="P23" s="75">
        <f>QUARTILE(P10:P17,1)</f>
        <v>13.290261243970649</v>
      </c>
      <c r="Q23" s="75">
        <f>QUARTILE(Q10:Q17,1)</f>
        <v>28.536334647272582</v>
      </c>
    </row>
    <row r="24" spans="2:17" x14ac:dyDescent="0.35">
      <c r="B24" s="138" t="s">
        <v>430</v>
      </c>
      <c r="C24" s="139"/>
      <c r="D24" s="139"/>
      <c r="E24" s="139"/>
      <c r="F24" s="139"/>
      <c r="G24" s="139"/>
      <c r="H24" s="139"/>
      <c r="I24" s="139"/>
      <c r="J24" s="139"/>
      <c r="K24" s="139"/>
      <c r="L24" s="139"/>
      <c r="M24" s="139"/>
      <c r="N24" s="139"/>
      <c r="O24" s="140">
        <f>MIN(O10:O17)</f>
        <v>0.73820167592505403</v>
      </c>
      <c r="P24" s="140">
        <f>MIN(P10:P17)</f>
        <v>7.5326701625005521</v>
      </c>
      <c r="Q24" s="140">
        <f>MIN(Q10:Q17)</f>
        <v>8.9829508196721299</v>
      </c>
    </row>
    <row r="26" spans="2:17" x14ac:dyDescent="0.35">
      <c r="B26" s="231" t="s">
        <v>442</v>
      </c>
      <c r="C26" s="231"/>
      <c r="D26" s="231"/>
      <c r="E26" s="231"/>
      <c r="F26" s="231"/>
      <c r="G26" s="231"/>
      <c r="H26" s="231"/>
      <c r="I26" s="231"/>
      <c r="J26" s="231"/>
      <c r="K26" s="231"/>
      <c r="L26" s="231"/>
      <c r="M26" s="231"/>
      <c r="N26" s="231"/>
      <c r="O26" s="210" t="s">
        <v>432</v>
      </c>
      <c r="P26" s="210" t="s">
        <v>433</v>
      </c>
      <c r="Q26" s="210" t="s">
        <v>434</v>
      </c>
    </row>
    <row r="28" spans="2:17" x14ac:dyDescent="0.35">
      <c r="B28" t="s">
        <v>438</v>
      </c>
      <c r="O28" s="127">
        <f>O$22*K$10</f>
        <v>1723367.6116039038</v>
      </c>
      <c r="P28" s="127">
        <f>P$22*L$10</f>
        <v>2487379.1603776393</v>
      </c>
      <c r="Q28" s="127">
        <f>Q29+Q30</f>
        <v>3099918.9894548426</v>
      </c>
    </row>
    <row r="29" spans="2:17" x14ac:dyDescent="0.35">
      <c r="B29" t="s">
        <v>195</v>
      </c>
      <c r="O29" s="126">
        <f>$H$10</f>
        <v>-38169</v>
      </c>
      <c r="P29" s="126">
        <f t="shared" ref="P29:Q29" si="4">$H$10</f>
        <v>-38169</v>
      </c>
      <c r="Q29" s="126">
        <f t="shared" si="4"/>
        <v>-38169</v>
      </c>
    </row>
    <row r="30" spans="2:17" x14ac:dyDescent="0.35">
      <c r="B30" t="s">
        <v>439</v>
      </c>
      <c r="O30" s="126">
        <f>O28-O29</f>
        <v>1761536.6116039038</v>
      </c>
      <c r="P30" s="126">
        <f t="shared" ref="P30" si="5">P28-P29</f>
        <v>2525548.1603776393</v>
      </c>
      <c r="Q30" s="126">
        <f>Q22*M10</f>
        <v>3138087.9894548426</v>
      </c>
    </row>
    <row r="31" spans="2:17" x14ac:dyDescent="0.35">
      <c r="B31" t="s">
        <v>388</v>
      </c>
      <c r="O31" s="128">
        <f>$F$10</f>
        <v>15441.9</v>
      </c>
      <c r="P31" s="128">
        <f t="shared" ref="P31:Q31" si="6">$F$10</f>
        <v>15441.9</v>
      </c>
      <c r="Q31" s="128">
        <f t="shared" si="6"/>
        <v>15441.9</v>
      </c>
    </row>
    <row r="32" spans="2:17" x14ac:dyDescent="0.35">
      <c r="B32" s="101" t="s">
        <v>440</v>
      </c>
      <c r="C32" s="101"/>
      <c r="D32" s="101"/>
      <c r="E32" s="101"/>
      <c r="F32" s="101"/>
      <c r="G32" s="101"/>
      <c r="H32" s="101"/>
      <c r="I32" s="101"/>
      <c r="J32" s="101"/>
      <c r="K32" s="101"/>
      <c r="L32" s="101"/>
      <c r="M32" s="101"/>
      <c r="N32" s="101"/>
      <c r="O32" s="132">
        <f>O30/O31</f>
        <v>114.07512104105737</v>
      </c>
      <c r="P32" s="132">
        <f t="shared" ref="P32:Q32" si="7">P30/P31</f>
        <v>163.55164587114535</v>
      </c>
      <c r="Q32" s="132">
        <f t="shared" si="7"/>
        <v>203.2190332442797</v>
      </c>
    </row>
    <row r="34" spans="2:17" x14ac:dyDescent="0.35">
      <c r="O34" t="str">
        <f>IF(O$32&gt;$E$10,"Undervalued","Overvalued")</f>
        <v>Overvalued</v>
      </c>
      <c r="P34" t="str">
        <f>IF(P$32&gt;$E$10,"Undervalued","Overvalued")</f>
        <v>Overvalued</v>
      </c>
      <c r="Q34" t="str">
        <f>IF(Q$32&gt;$E$10,"Undervalued","Overvalued")</f>
        <v>Undervalued</v>
      </c>
    </row>
    <row r="35" spans="2:17" x14ac:dyDescent="0.35">
      <c r="B35" s="90" t="s">
        <v>323</v>
      </c>
    </row>
    <row r="36" spans="2:17" x14ac:dyDescent="0.35">
      <c r="B36" s="90" t="s">
        <v>441</v>
      </c>
    </row>
  </sheetData>
  <sheetProtection password="CC0B" sheet="1" objects="1" scenarios="1" selectLockedCells="0" selectUnlockedCells="1"/>
  <mergeCells count="5">
    <mergeCell ref="K8:M8"/>
    <mergeCell ref="O8:Q8"/>
    <mergeCell ref="E8:I8"/>
    <mergeCell ref="B26:N26"/>
    <mergeCell ref="B6:Q6"/>
  </mergeCells>
  <pageMargins left="0.25" right="0.25" top="0.75" bottom="0.75" header="0.3" footer="0.3"/>
  <pageSetup paperSize="9" scale="79" orientation="landscape" horizontalDpi="4294967293" verticalDpi="0"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4A4EA-3A8B-48CD-B89E-3B240307274D}">
  <sheetPr>
    <pageSetUpPr fitToPage="1"/>
  </sheetPr>
  <dimension ref="B6:Q486"/>
  <sheetViews>
    <sheetView showGridLines="0" topLeftCell="A10" workbookViewId="0">
      <selection activeCell="K32" sqref="K32"/>
    </sheetView>
  </sheetViews>
  <sheetFormatPr defaultRowHeight="14.5" x14ac:dyDescent="0.35"/>
  <cols>
    <col min="1" max="1" width="1.81640625" customWidth="1"/>
    <col min="2" max="2" width="10.08984375" bestFit="1" customWidth="1"/>
    <col min="3" max="3" width="11.26953125" bestFit="1" customWidth="1"/>
    <col min="4" max="4" width="10.81640625" bestFit="1" customWidth="1"/>
    <col min="5" max="5" width="13.453125" bestFit="1" customWidth="1"/>
    <col min="6" max="6" width="13.453125" customWidth="1"/>
    <col min="7" max="7" width="16.26953125" bestFit="1" customWidth="1"/>
    <col min="10" max="10" width="10.6328125" bestFit="1" customWidth="1"/>
    <col min="11" max="11" width="9.6328125" bestFit="1" customWidth="1"/>
    <col min="12" max="12" width="9.90625" bestFit="1" customWidth="1"/>
  </cols>
  <sheetData>
    <row r="6" spans="2:15" x14ac:dyDescent="0.35">
      <c r="B6" s="231" t="str">
        <f>"Calculation of monthly VAR using Historical and Monte Carlo Simulation approach -"&amp; " "&amp;'Data Sheet'!$A$4</f>
        <v>Calculation of monthly VAR using Historical and Monte Carlo Simulation approach - Apple Inc.</v>
      </c>
      <c r="C6" s="231"/>
      <c r="D6" s="231"/>
      <c r="E6" s="231"/>
      <c r="F6" s="231"/>
      <c r="G6" s="231"/>
      <c r="H6" s="231"/>
      <c r="I6" s="231"/>
      <c r="J6" s="231"/>
      <c r="K6" s="231"/>
      <c r="L6" s="231"/>
    </row>
    <row r="8" spans="2:15" x14ac:dyDescent="0.35">
      <c r="B8" s="96" t="s">
        <v>327</v>
      </c>
      <c r="C8" s="96" t="s">
        <v>328</v>
      </c>
      <c r="D8" s="96" t="s">
        <v>446</v>
      </c>
      <c r="E8" s="96" t="s">
        <v>447</v>
      </c>
      <c r="F8" s="96" t="s">
        <v>457</v>
      </c>
      <c r="G8" s="96" t="s">
        <v>458</v>
      </c>
      <c r="I8" s="241" t="s">
        <v>460</v>
      </c>
      <c r="J8" s="241"/>
      <c r="K8" s="241"/>
      <c r="L8" s="241"/>
    </row>
    <row r="9" spans="2:15" x14ac:dyDescent="0.35">
      <c r="B9" s="159">
        <v>31048</v>
      </c>
      <c r="C9" s="160">
        <v>9.9918999999999994E-2</v>
      </c>
      <c r="D9" s="161">
        <f t="shared" ref="D9:D72" si="0">(C9-C10)/C10</f>
        <v>-0.69395156226549182</v>
      </c>
      <c r="E9" s="161" t="e">
        <v>#DIV/0!</v>
      </c>
      <c r="F9" s="162">
        <v>1</v>
      </c>
      <c r="G9" s="163">
        <f ca="1">_xlfn.NORM.INV(RAND(),$L$10,$L$11)</f>
        <v>-5.5840741818613919E-2</v>
      </c>
    </row>
    <row r="10" spans="2:15" x14ac:dyDescent="0.35">
      <c r="B10" s="94">
        <v>36892</v>
      </c>
      <c r="C10" s="49">
        <v>0.32648100000000002</v>
      </c>
      <c r="D10" s="3">
        <f t="shared" si="0"/>
        <v>1.3617824718775999</v>
      </c>
      <c r="E10" s="3">
        <v>0.45378562872651668</v>
      </c>
      <c r="F10">
        <v>2</v>
      </c>
      <c r="G10" s="3">
        <f ca="1">_xlfn.NORM.INV(RAND(),$L$10,$L$11)</f>
        <v>0.20857660142780912</v>
      </c>
      <c r="I10" s="101" t="s">
        <v>257</v>
      </c>
      <c r="J10" s="102"/>
      <c r="K10" s="102"/>
      <c r="L10" s="149">
        <f>AVERAGE(E10:E482)</f>
        <v>2.3699243740653582E-2</v>
      </c>
    </row>
    <row r="11" spans="2:15" x14ac:dyDescent="0.35">
      <c r="B11" s="94">
        <v>35796</v>
      </c>
      <c r="C11" s="49">
        <v>0.138235</v>
      </c>
      <c r="D11" s="3">
        <f t="shared" si="0"/>
        <v>-0.27710811870832791</v>
      </c>
      <c r="E11" s="3">
        <v>0.39522795401556365</v>
      </c>
      <c r="F11">
        <v>3</v>
      </c>
      <c r="G11" s="3">
        <f t="shared" ref="G11:G73" ca="1" si="1">_xlfn.NORM.INV(RAND(),$L$10,$L$11)</f>
        <v>7.856049731901571E-3</v>
      </c>
      <c r="I11" s="101" t="s">
        <v>450</v>
      </c>
      <c r="J11" s="102"/>
      <c r="K11" s="102"/>
      <c r="L11" s="150">
        <f>_xlfn.STDEV.S(E10:E482)</f>
        <v>0.12188042565559629</v>
      </c>
    </row>
    <row r="12" spans="2:15" x14ac:dyDescent="0.35">
      <c r="B12" s="94">
        <v>31778</v>
      </c>
      <c r="C12" s="49">
        <v>0.19122500000000001</v>
      </c>
      <c r="D12" s="3">
        <f t="shared" si="0"/>
        <v>-0.75828022176659904</v>
      </c>
      <c r="E12" s="3">
        <v>0.37036612370380462</v>
      </c>
      <c r="F12">
        <v>4</v>
      </c>
      <c r="G12" s="3">
        <f t="shared" ca="1" si="1"/>
        <v>0.10738936746766364</v>
      </c>
      <c r="I12" s="101" t="s">
        <v>448</v>
      </c>
      <c r="J12" s="102"/>
      <c r="K12" s="102"/>
      <c r="L12" s="149">
        <f>MIN(E10:E482)</f>
        <v>-0.57743620624437497</v>
      </c>
      <c r="O12" t="s">
        <v>591</v>
      </c>
    </row>
    <row r="13" spans="2:15" x14ac:dyDescent="0.35">
      <c r="B13" s="94">
        <v>38261</v>
      </c>
      <c r="C13" s="49">
        <v>0.79110199999999997</v>
      </c>
      <c r="D13" s="3">
        <f t="shared" si="0"/>
        <v>2.5081506314743858</v>
      </c>
      <c r="E13" s="3">
        <v>0.35225794541411198</v>
      </c>
      <c r="F13">
        <v>5</v>
      </c>
      <c r="G13" s="3">
        <f t="shared" ca="1" si="1"/>
        <v>-0.13024675162497484</v>
      </c>
      <c r="I13" s="101" t="s">
        <v>449</v>
      </c>
      <c r="J13" s="102"/>
      <c r="K13" s="102"/>
      <c r="L13" s="149">
        <f>MAX(E10:E482)</f>
        <v>0.45378562872651668</v>
      </c>
    </row>
    <row r="14" spans="2:15" x14ac:dyDescent="0.35">
      <c r="B14" s="94">
        <v>34243</v>
      </c>
      <c r="C14" s="49">
        <v>0.22550400000000001</v>
      </c>
      <c r="D14" s="3">
        <f t="shared" si="0"/>
        <v>-0.39491252549103789</v>
      </c>
      <c r="E14" s="3">
        <v>0.31551344950093063</v>
      </c>
      <c r="F14">
        <v>6</v>
      </c>
      <c r="G14" s="3">
        <f t="shared" ca="1" si="1"/>
        <v>-0.16706506676982821</v>
      </c>
      <c r="I14" s="101" t="s">
        <v>452</v>
      </c>
      <c r="J14" s="102"/>
      <c r="K14" s="102"/>
      <c r="L14" s="151">
        <v>191.73</v>
      </c>
    </row>
    <row r="15" spans="2:15" x14ac:dyDescent="0.35">
      <c r="B15" s="94">
        <v>31990</v>
      </c>
      <c r="C15" s="49">
        <v>0.37268000000000001</v>
      </c>
      <c r="D15" s="3">
        <f t="shared" si="0"/>
        <v>-5.959893918480743E-2</v>
      </c>
      <c r="E15" s="3">
        <v>0.30909142002065437</v>
      </c>
      <c r="F15">
        <v>7</v>
      </c>
      <c r="G15" s="3">
        <f t="shared" ca="1" si="1"/>
        <v>0.12869124326578432</v>
      </c>
    </row>
    <row r="16" spans="2:15" x14ac:dyDescent="0.35">
      <c r="B16" s="94">
        <v>33239</v>
      </c>
      <c r="C16" s="49">
        <v>0.39629900000000001</v>
      </c>
      <c r="D16" s="3">
        <f t="shared" si="0"/>
        <v>1.2221792326929763</v>
      </c>
      <c r="E16" s="3">
        <v>0.29069544005237052</v>
      </c>
      <c r="F16">
        <v>8</v>
      </c>
      <c r="G16" s="3">
        <f t="shared" ca="1" si="1"/>
        <v>-0.38568374841008052</v>
      </c>
    </row>
    <row r="17" spans="2:17" x14ac:dyDescent="0.35">
      <c r="B17" s="94">
        <v>35827</v>
      </c>
      <c r="C17" s="49">
        <v>0.178338</v>
      </c>
      <c r="D17" s="3">
        <f t="shared" si="0"/>
        <v>-0.4450574583881779</v>
      </c>
      <c r="E17" s="3">
        <v>0.29010742576048032</v>
      </c>
      <c r="F17">
        <v>9</v>
      </c>
      <c r="G17" s="3">
        <f t="shared" ca="1" si="1"/>
        <v>4.2047750735245956E-2</v>
      </c>
      <c r="I17" s="101" t="s">
        <v>451</v>
      </c>
      <c r="J17" s="155" t="s">
        <v>456</v>
      </c>
      <c r="K17" s="155" t="s">
        <v>453</v>
      </c>
      <c r="L17" s="101" t="s">
        <v>454</v>
      </c>
      <c r="M17" s="155" t="s">
        <v>455</v>
      </c>
      <c r="O17" s="96"/>
      <c r="Q17" s="96"/>
    </row>
    <row r="18" spans="2:17" x14ac:dyDescent="0.35">
      <c r="B18" s="94">
        <v>34608</v>
      </c>
      <c r="C18" s="49">
        <v>0.32136300000000001</v>
      </c>
      <c r="D18" s="3">
        <f t="shared" si="0"/>
        <v>3.9928937558247862E-2</v>
      </c>
      <c r="E18" s="3">
        <v>0.28200596795812855</v>
      </c>
      <c r="F18">
        <v>10</v>
      </c>
      <c r="G18" s="3">
        <f t="shared" ca="1" si="1"/>
        <v>-1.2036175187563079E-2</v>
      </c>
      <c r="I18" s="157">
        <v>0.05</v>
      </c>
      <c r="J18" s="152">
        <f>1-I18</f>
        <v>0.95</v>
      </c>
      <c r="K18" s="153">
        <f>_xlfn.PERCENTILE.INC($E$10:$E$482,I18)</f>
        <v>-0.15626113268071729</v>
      </c>
      <c r="L18" s="154">
        <f>$L$14*(1+K18)</f>
        <v>161.77005303112605</v>
      </c>
      <c r="M18" s="154">
        <f>-($L$14-L18)</f>
        <v>-29.959946968873936</v>
      </c>
      <c r="O18" s="86"/>
      <c r="Q18" s="49"/>
    </row>
    <row r="19" spans="2:17" x14ac:dyDescent="0.35">
      <c r="B19" s="94">
        <v>36130</v>
      </c>
      <c r="C19" s="49">
        <v>0.30902400000000002</v>
      </c>
      <c r="D19" s="3">
        <f t="shared" si="0"/>
        <v>-0.11005388219641225</v>
      </c>
      <c r="E19" s="3">
        <v>0.28179985565316951</v>
      </c>
      <c r="F19">
        <v>11</v>
      </c>
      <c r="G19" s="3">
        <f t="shared" ca="1" si="1"/>
        <v>0.11521899933724011</v>
      </c>
      <c r="I19" s="157">
        <v>0.01</v>
      </c>
      <c r="J19" s="152">
        <f t="shared" ref="J19" si="2">1-I19</f>
        <v>0.99</v>
      </c>
      <c r="K19" s="153">
        <f>_xlfn.PERCENTILE.INC($E$10:$E$482,I19)</f>
        <v>-0.30528162763181532</v>
      </c>
      <c r="L19" s="154">
        <f t="shared" ref="L19:L21" si="3">$L$14*(1+K19)</f>
        <v>133.19835353415203</v>
      </c>
      <c r="M19" s="154">
        <f t="shared" ref="M19:M21" si="4">-($L$14-L19)</f>
        <v>-58.531646465847956</v>
      </c>
    </row>
    <row r="20" spans="2:17" x14ac:dyDescent="0.35">
      <c r="B20" s="94">
        <v>36251</v>
      </c>
      <c r="C20" s="49">
        <v>0.34723900000000002</v>
      </c>
      <c r="D20" s="3">
        <f t="shared" si="0"/>
        <v>-0.65697302818689307</v>
      </c>
      <c r="E20" s="3">
        <v>0.27999749337402924</v>
      </c>
      <c r="F20">
        <v>12</v>
      </c>
      <c r="G20" s="3">
        <f t="shared" ca="1" si="1"/>
        <v>-2.1344342904626848E-2</v>
      </c>
      <c r="I20" s="158">
        <v>5.0000000000000001E-3</v>
      </c>
      <c r="J20" s="156">
        <f>1-I20</f>
        <v>0.995</v>
      </c>
      <c r="K20" s="153">
        <f>_xlfn.PERCENTILE.INC($E$10:$E$482,I20)</f>
        <v>-0.32066019790215561</v>
      </c>
      <c r="L20" s="154">
        <f t="shared" si="3"/>
        <v>130.24982025621969</v>
      </c>
      <c r="M20" s="154">
        <f t="shared" si="4"/>
        <v>-61.480179743780297</v>
      </c>
    </row>
    <row r="21" spans="2:17" x14ac:dyDescent="0.35">
      <c r="B21" s="94">
        <v>38292</v>
      </c>
      <c r="C21" s="49">
        <v>1.0122789999999999</v>
      </c>
      <c r="D21" s="3">
        <f t="shared" si="0"/>
        <v>2.4801767112455733</v>
      </c>
      <c r="E21" s="3">
        <v>0.27958088843158019</v>
      </c>
      <c r="F21">
        <v>13</v>
      </c>
      <c r="G21" s="3">
        <f t="shared" ca="1" si="1"/>
        <v>9.4714396856466682E-2</v>
      </c>
      <c r="I21" s="158">
        <v>0.1</v>
      </c>
      <c r="J21" s="156">
        <f>1-I21</f>
        <v>0.9</v>
      </c>
      <c r="K21" s="153">
        <f>_xlfn.PERCENTILE.INC($E$10:$E$482,I21)</f>
        <v>-0.1196146836488927</v>
      </c>
      <c r="L21" s="154">
        <f t="shared" si="3"/>
        <v>168.79627670399779</v>
      </c>
      <c r="M21" s="154">
        <f t="shared" si="4"/>
        <v>-22.933723296002199</v>
      </c>
    </row>
    <row r="22" spans="2:17" x14ac:dyDescent="0.35">
      <c r="B22" s="94">
        <v>32112</v>
      </c>
      <c r="C22" s="49">
        <v>0.29087000000000002</v>
      </c>
      <c r="D22" s="3">
        <f t="shared" si="0"/>
        <v>0.16437890051119472</v>
      </c>
      <c r="E22" s="3">
        <v>0.27550505825655697</v>
      </c>
      <c r="F22">
        <v>14</v>
      </c>
      <c r="G22" s="3">
        <f t="shared" ca="1" si="1"/>
        <v>1.5493133928444237E-2</v>
      </c>
    </row>
    <row r="23" spans="2:17" x14ac:dyDescent="0.35">
      <c r="B23" s="94">
        <v>34516</v>
      </c>
      <c r="C23" s="49">
        <v>0.249807</v>
      </c>
      <c r="D23" s="3">
        <f t="shared" si="0"/>
        <v>-0.58698595824674005</v>
      </c>
      <c r="E23" s="3">
        <v>0.27123068780914777</v>
      </c>
      <c r="F23">
        <v>15</v>
      </c>
      <c r="G23" s="3">
        <f t="shared" ca="1" si="1"/>
        <v>7.8054973610648171E-2</v>
      </c>
      <c r="I23" s="241" t="s">
        <v>459</v>
      </c>
      <c r="J23" s="241"/>
      <c r="K23" s="241"/>
      <c r="L23" s="241"/>
    </row>
    <row r="24" spans="2:17" x14ac:dyDescent="0.35">
      <c r="B24" s="94">
        <v>36434</v>
      </c>
      <c r="C24" s="49">
        <v>0.60483900000000002</v>
      </c>
      <c r="D24" s="3">
        <f t="shared" si="0"/>
        <v>1.2318947003298917</v>
      </c>
      <c r="E24" s="3">
        <v>0.26554947837112858</v>
      </c>
      <c r="F24">
        <v>16</v>
      </c>
      <c r="G24" s="3">
        <f t="shared" ca="1" si="1"/>
        <v>2.4441494845182356E-2</v>
      </c>
    </row>
    <row r="25" spans="2:17" x14ac:dyDescent="0.35">
      <c r="B25" s="94">
        <v>37742</v>
      </c>
      <c r="C25" s="49">
        <v>0.27099800000000002</v>
      </c>
      <c r="D25" s="3">
        <f t="shared" si="0"/>
        <v>0.12361516518508693</v>
      </c>
      <c r="E25" s="3">
        <v>0.26230523790670068</v>
      </c>
      <c r="F25">
        <v>17</v>
      </c>
      <c r="G25" s="3">
        <f t="shared" ca="1" si="1"/>
        <v>2.6249036121402971E-2</v>
      </c>
      <c r="I25" s="101" t="s">
        <v>257</v>
      </c>
      <c r="J25" s="102"/>
      <c r="K25" s="102"/>
      <c r="L25" s="149">
        <f ca="1">AVERAGE(G10:G482)</f>
        <v>3.2154806696667412E-2</v>
      </c>
    </row>
    <row r="26" spans="2:17" x14ac:dyDescent="0.35">
      <c r="B26" s="94">
        <v>31809</v>
      </c>
      <c r="C26" s="49">
        <v>0.24118400000000001</v>
      </c>
      <c r="D26" s="3">
        <f t="shared" si="0"/>
        <v>-0.69498371747446974</v>
      </c>
      <c r="E26" s="3">
        <v>0.26125768074258071</v>
      </c>
      <c r="F26">
        <v>18</v>
      </c>
      <c r="G26" s="3">
        <f t="shared" ca="1" si="1"/>
        <v>-8.7246742225078111E-2</v>
      </c>
      <c r="I26" s="101" t="s">
        <v>450</v>
      </c>
      <c r="J26" s="102"/>
      <c r="K26" s="102"/>
      <c r="L26" s="150">
        <f ca="1">_xlfn.STDEV.S(G10:G482)</f>
        <v>0.12170378390735351</v>
      </c>
    </row>
    <row r="27" spans="2:17" x14ac:dyDescent="0.35">
      <c r="B27" s="94">
        <v>36678</v>
      </c>
      <c r="C27" s="49">
        <v>0.79072500000000001</v>
      </c>
      <c r="D27" s="3">
        <f t="shared" si="0"/>
        <v>3.816090483847391</v>
      </c>
      <c r="E27" s="3">
        <v>0.24702329322335939</v>
      </c>
      <c r="F27">
        <v>19</v>
      </c>
      <c r="G27" s="3">
        <f t="shared" ca="1" si="1"/>
        <v>0.32646686685925702</v>
      </c>
      <c r="I27" s="101" t="s">
        <v>448</v>
      </c>
      <c r="J27" s="102"/>
      <c r="K27" s="102"/>
      <c r="L27" s="149">
        <f ca="1">MIN(G10:G482)</f>
        <v>-0.38568374841008052</v>
      </c>
    </row>
    <row r="28" spans="2:17" x14ac:dyDescent="0.35">
      <c r="B28" s="94">
        <v>35643</v>
      </c>
      <c r="C28" s="49">
        <v>0.164184</v>
      </c>
      <c r="D28" s="3">
        <f t="shared" si="0"/>
        <v>-0.97137402883205648</v>
      </c>
      <c r="E28" s="3">
        <v>0.24285779170640867</v>
      </c>
      <c r="F28">
        <v>20</v>
      </c>
      <c r="G28" s="3">
        <f t="shared" ca="1" si="1"/>
        <v>9.6289824915616884E-2</v>
      </c>
      <c r="I28" s="101" t="s">
        <v>449</v>
      </c>
      <c r="J28" s="102"/>
      <c r="K28" s="102"/>
      <c r="L28" s="149">
        <f ca="1">MAX(G10:G482)</f>
        <v>0.36267376857050976</v>
      </c>
    </row>
    <row r="29" spans="2:17" x14ac:dyDescent="0.35">
      <c r="B29" s="94">
        <v>39356</v>
      </c>
      <c r="C29" s="49">
        <v>5.7354909999999997</v>
      </c>
      <c r="D29" s="3">
        <f t="shared" si="0"/>
        <v>20.00481586194773</v>
      </c>
      <c r="E29" s="3">
        <v>0.23770140867926651</v>
      </c>
      <c r="F29">
        <v>21</v>
      </c>
      <c r="G29" s="3">
        <f t="shared" ca="1" si="1"/>
        <v>5.4421456041239089E-2</v>
      </c>
      <c r="I29" s="101" t="s">
        <v>452</v>
      </c>
      <c r="J29" s="102"/>
      <c r="K29" s="102"/>
      <c r="L29" s="102">
        <f>L14</f>
        <v>191.73</v>
      </c>
    </row>
    <row r="30" spans="2:17" x14ac:dyDescent="0.35">
      <c r="B30" s="94">
        <v>31868</v>
      </c>
      <c r="C30" s="49">
        <v>0.27305600000000002</v>
      </c>
      <c r="D30" s="3">
        <f t="shared" si="0"/>
        <v>1.0670088265128463</v>
      </c>
      <c r="E30" s="3">
        <v>0.22868687959538161</v>
      </c>
      <c r="F30">
        <v>22</v>
      </c>
      <c r="G30" s="3">
        <f t="shared" ca="1" si="1"/>
        <v>6.3656571307616844E-2</v>
      </c>
    </row>
    <row r="31" spans="2:17" x14ac:dyDescent="0.35">
      <c r="B31" s="94">
        <v>35612</v>
      </c>
      <c r="C31" s="49">
        <v>0.132102</v>
      </c>
      <c r="D31" s="3">
        <f t="shared" si="0"/>
        <v>-0.60498412185801176</v>
      </c>
      <c r="E31" s="3">
        <v>0.22806756593442348</v>
      </c>
      <c r="F31">
        <v>23</v>
      </c>
      <c r="G31" s="3">
        <f t="shared" ca="1" si="1"/>
        <v>0.10464044329118885</v>
      </c>
      <c r="I31" s="101" t="s">
        <v>451</v>
      </c>
      <c r="J31" s="155" t="s">
        <v>456</v>
      </c>
      <c r="K31" s="155" t="s">
        <v>453</v>
      </c>
      <c r="L31" s="101" t="s">
        <v>454</v>
      </c>
      <c r="M31" s="155" t="s">
        <v>455</v>
      </c>
    </row>
    <row r="32" spans="2:17" x14ac:dyDescent="0.35">
      <c r="B32" s="94">
        <v>32629</v>
      </c>
      <c r="C32" s="49">
        <v>0.334422</v>
      </c>
      <c r="D32" s="3">
        <f t="shared" si="0"/>
        <v>1.6232468388189893</v>
      </c>
      <c r="E32" s="3">
        <v>0.22436113348465989</v>
      </c>
      <c r="F32">
        <v>24</v>
      </c>
      <c r="G32" s="3">
        <f t="shared" ca="1" si="1"/>
        <v>4.2280987357034019E-2</v>
      </c>
      <c r="I32" s="157">
        <v>0.05</v>
      </c>
      <c r="J32" s="152">
        <f>1-I32</f>
        <v>0.95</v>
      </c>
      <c r="K32" s="153">
        <f ca="1">_xlfn.PERCENTILE.INC($G$10:$G$482,I32)</f>
        <v>-0.17761192912688245</v>
      </c>
      <c r="L32" s="154">
        <f ca="1">$L$14*(1+K32)</f>
        <v>157.67646482850282</v>
      </c>
      <c r="M32" s="154">
        <f ca="1">-($L$14-L32)</f>
        <v>-34.053535171497174</v>
      </c>
    </row>
    <row r="33" spans="2:13" x14ac:dyDescent="0.35">
      <c r="B33" s="94">
        <v>31533</v>
      </c>
      <c r="C33" s="49">
        <v>0.12748399999999999</v>
      </c>
      <c r="D33" s="3">
        <f t="shared" si="0"/>
        <v>-0.55703037589386861</v>
      </c>
      <c r="E33" s="3">
        <v>0.22314969393433487</v>
      </c>
      <c r="F33">
        <v>25</v>
      </c>
      <c r="G33" s="3">
        <f t="shared" ca="1" si="1"/>
        <v>0.23845274591413523</v>
      </c>
      <c r="I33" s="157">
        <v>0.01</v>
      </c>
      <c r="J33" s="152">
        <f t="shared" ref="J33" si="5">1-I33</f>
        <v>0.99</v>
      </c>
      <c r="K33" s="153">
        <f t="shared" ref="K33:K34" ca="1" si="6">_xlfn.PERCENTILE.INC($G$10:$G$482,I33)</f>
        <v>-0.23725477005094239</v>
      </c>
      <c r="L33" s="154">
        <f t="shared" ref="L33:L35" ca="1" si="7">$L$14*(1+K33)</f>
        <v>146.24114293813281</v>
      </c>
      <c r="M33" s="154">
        <f t="shared" ref="M33:M35" ca="1" si="8">-($L$14-L33)</f>
        <v>-45.488857061867179</v>
      </c>
    </row>
    <row r="34" spans="2:13" x14ac:dyDescent="0.35">
      <c r="B34" s="94">
        <v>36039</v>
      </c>
      <c r="C34" s="49">
        <v>0.28779399999999999</v>
      </c>
      <c r="D34" s="3">
        <f t="shared" si="0"/>
        <v>-0.61047226147357714</v>
      </c>
      <c r="E34" s="3">
        <v>0.22244451523839864</v>
      </c>
      <c r="F34">
        <v>26</v>
      </c>
      <c r="G34" s="3">
        <f t="shared" ca="1" si="1"/>
        <v>0.19509353909810487</v>
      </c>
      <c r="I34" s="158">
        <v>5.0000000000000001E-3</v>
      </c>
      <c r="J34" s="156">
        <f>1-I34</f>
        <v>0.995</v>
      </c>
      <c r="K34" s="153">
        <f t="shared" ca="1" si="6"/>
        <v>-0.24591360991157921</v>
      </c>
      <c r="L34" s="154">
        <f t="shared" ca="1" si="7"/>
        <v>144.58098357165292</v>
      </c>
      <c r="M34" s="154">
        <f t="shared" ca="1" si="8"/>
        <v>-47.149016428347068</v>
      </c>
    </row>
    <row r="35" spans="2:13" x14ac:dyDescent="0.35">
      <c r="B35" s="94">
        <v>36465</v>
      </c>
      <c r="C35" s="49">
        <v>0.73882800000000004</v>
      </c>
      <c r="D35" s="3">
        <f t="shared" si="0"/>
        <v>-0.9941373283392585</v>
      </c>
      <c r="E35" s="3">
        <v>0.22152837366638067</v>
      </c>
      <c r="F35">
        <v>27</v>
      </c>
      <c r="G35" s="3">
        <f t="shared" ca="1" si="1"/>
        <v>0.19198734553713515</v>
      </c>
      <c r="I35" s="158">
        <v>0.1</v>
      </c>
      <c r="J35" s="156">
        <f>1-I35</f>
        <v>0.9</v>
      </c>
      <c r="K35" s="153">
        <f ca="1">_xlfn.PERCENTILE.INC($G$10:$G$482,I35)</f>
        <v>-0.1359636863251466</v>
      </c>
      <c r="L35" s="154">
        <f t="shared" ca="1" si="7"/>
        <v>165.66168242087966</v>
      </c>
      <c r="M35" s="154">
        <f t="shared" ca="1" si="8"/>
        <v>-26.068317579120333</v>
      </c>
    </row>
    <row r="36" spans="2:13" x14ac:dyDescent="0.35">
      <c r="B36" s="94">
        <v>44044</v>
      </c>
      <c r="C36" s="49">
        <v>126.022408</v>
      </c>
      <c r="D36" s="3">
        <f t="shared" si="0"/>
        <v>33.438948006161837</v>
      </c>
      <c r="E36" s="3">
        <v>0.21437956349063531</v>
      </c>
      <c r="F36">
        <v>28</v>
      </c>
      <c r="G36" s="3">
        <f t="shared" ca="1" si="1"/>
        <v>-3.1643334742416374E-3</v>
      </c>
    </row>
    <row r="37" spans="2:13" x14ac:dyDescent="0.35">
      <c r="B37" s="94">
        <v>39203</v>
      </c>
      <c r="C37" s="49">
        <v>3.6592989999999999</v>
      </c>
      <c r="D37" s="3">
        <f t="shared" si="0"/>
        <v>10.379337259853097</v>
      </c>
      <c r="E37" s="3">
        <v>0.21432816702533819</v>
      </c>
      <c r="F37">
        <v>29</v>
      </c>
      <c r="G37" s="3">
        <f t="shared" ca="1" si="1"/>
        <v>0.1555430961266632</v>
      </c>
    </row>
    <row r="38" spans="2:13" x14ac:dyDescent="0.35">
      <c r="B38" s="94">
        <v>37196</v>
      </c>
      <c r="C38" s="49">
        <v>0.32157400000000003</v>
      </c>
      <c r="D38" s="3">
        <f t="shared" si="0"/>
        <v>-0.93877550631857021</v>
      </c>
      <c r="E38" s="3">
        <v>0.21298786536858441</v>
      </c>
      <c r="F38">
        <v>30</v>
      </c>
      <c r="G38" s="3">
        <f t="shared" ca="1" si="1"/>
        <v>9.9868047901621432E-2</v>
      </c>
    </row>
    <row r="39" spans="2:13" x14ac:dyDescent="0.35">
      <c r="B39" s="94">
        <v>39539</v>
      </c>
      <c r="C39" s="49">
        <v>5.2523749999999998</v>
      </c>
      <c r="D39" s="3">
        <f t="shared" si="0"/>
        <v>14.763477681505647</v>
      </c>
      <c r="E39" s="3">
        <v>0.21219600908574351</v>
      </c>
      <c r="F39">
        <v>31</v>
      </c>
      <c r="G39" s="3">
        <f t="shared" ca="1" si="1"/>
        <v>4.3391079508661792E-3</v>
      </c>
    </row>
    <row r="40" spans="2:13" x14ac:dyDescent="0.35">
      <c r="B40" s="94">
        <v>36951</v>
      </c>
      <c r="C40" s="49">
        <v>0.33319900000000002</v>
      </c>
      <c r="D40" s="3">
        <f t="shared" si="0"/>
        <v>0.27480267663454144</v>
      </c>
      <c r="E40" s="3">
        <v>0.20931523952280537</v>
      </c>
      <c r="F40">
        <v>32</v>
      </c>
      <c r="G40" s="3">
        <f t="shared" ca="1" si="1"/>
        <v>3.9825038011837927E-2</v>
      </c>
    </row>
    <row r="41" spans="2:13" x14ac:dyDescent="0.35">
      <c r="B41" s="94">
        <v>35977</v>
      </c>
      <c r="C41" s="49">
        <v>0.26137300000000002</v>
      </c>
      <c r="D41" s="3">
        <f t="shared" si="0"/>
        <v>-0.37822812392950939</v>
      </c>
      <c r="E41" s="3">
        <v>0.20697011816968608</v>
      </c>
      <c r="F41">
        <v>33</v>
      </c>
      <c r="G41" s="3">
        <f t="shared" ca="1" si="1"/>
        <v>-0.13598160919625807</v>
      </c>
    </row>
    <row r="42" spans="2:13" x14ac:dyDescent="0.35">
      <c r="B42" s="94">
        <v>36342</v>
      </c>
      <c r="C42" s="49">
        <v>0.42036800000000002</v>
      </c>
      <c r="D42" s="3">
        <f t="shared" si="0"/>
        <v>-0.54307627424467064</v>
      </c>
      <c r="E42" s="3">
        <v>0.20243250819512695</v>
      </c>
      <c r="F42">
        <v>34</v>
      </c>
      <c r="G42" s="3">
        <f t="shared" ca="1" si="1"/>
        <v>-4.5426373536276522E-2</v>
      </c>
    </row>
    <row r="43" spans="2:13" x14ac:dyDescent="0.35">
      <c r="B43" s="94">
        <v>36739</v>
      </c>
      <c r="C43" s="49">
        <v>0.91999600000000004</v>
      </c>
      <c r="D43" s="3">
        <f t="shared" si="0"/>
        <v>-0.75785781138304842</v>
      </c>
      <c r="E43" s="3">
        <v>0.19926218983620878</v>
      </c>
      <c r="F43">
        <v>35</v>
      </c>
      <c r="G43" s="3">
        <f t="shared" ca="1" si="1"/>
        <v>5.083619352403837E-2</v>
      </c>
    </row>
    <row r="44" spans="2:13" x14ac:dyDescent="0.35">
      <c r="B44" s="94">
        <v>39904</v>
      </c>
      <c r="C44" s="49">
        <v>3.799404</v>
      </c>
      <c r="D44" s="3">
        <f t="shared" si="0"/>
        <v>-0.92976786097223141</v>
      </c>
      <c r="E44" s="3">
        <v>0.19701292126105557</v>
      </c>
      <c r="F44">
        <v>36</v>
      </c>
      <c r="G44" s="3">
        <f t="shared" ca="1" si="1"/>
        <v>0.12288858487236454</v>
      </c>
    </row>
    <row r="45" spans="2:13" x14ac:dyDescent="0.35">
      <c r="B45" s="94">
        <v>43313</v>
      </c>
      <c r="C45" s="49">
        <v>54.097797</v>
      </c>
      <c r="D45" s="3">
        <f t="shared" si="0"/>
        <v>205.84330121587521</v>
      </c>
      <c r="E45" s="3">
        <v>0.19622695538555129</v>
      </c>
      <c r="F45">
        <v>37</v>
      </c>
      <c r="G45" s="3">
        <f t="shared" ca="1" si="1"/>
        <v>-9.8699367117185632E-2</v>
      </c>
    </row>
    <row r="46" spans="2:13" x14ac:dyDescent="0.35">
      <c r="B46" s="94">
        <v>33178</v>
      </c>
      <c r="C46" s="49">
        <v>0.26153999999999999</v>
      </c>
      <c r="D46" s="3">
        <f t="shared" si="0"/>
        <v>-0.77472615972444137</v>
      </c>
      <c r="E46" s="3">
        <v>0.19511972217144941</v>
      </c>
      <c r="F46">
        <v>38</v>
      </c>
      <c r="G46" s="3">
        <f t="shared" ca="1" si="1"/>
        <v>0.1065927656392314</v>
      </c>
    </row>
    <row r="47" spans="2:13" x14ac:dyDescent="0.35">
      <c r="B47" s="94">
        <v>38353</v>
      </c>
      <c r="C47" s="49">
        <v>1.160987</v>
      </c>
      <c r="D47" s="3">
        <f t="shared" si="0"/>
        <v>1.3860293437626521</v>
      </c>
      <c r="E47" s="3">
        <v>0.19409814753294091</v>
      </c>
      <c r="F47">
        <v>39</v>
      </c>
      <c r="G47" s="3">
        <f t="shared" ca="1" si="1"/>
        <v>4.8253859326761711E-2</v>
      </c>
    </row>
    <row r="48" spans="2:13" x14ac:dyDescent="0.35">
      <c r="B48" s="94">
        <v>33298</v>
      </c>
      <c r="C48" s="49">
        <v>0.48657699999999998</v>
      </c>
      <c r="D48" s="3">
        <f t="shared" si="0"/>
        <v>-0.99697198962989975</v>
      </c>
      <c r="E48" s="3">
        <v>0.19027140742915144</v>
      </c>
      <c r="F48">
        <v>40</v>
      </c>
      <c r="G48" s="3">
        <f t="shared" ca="1" si="1"/>
        <v>9.6114814584541075E-2</v>
      </c>
    </row>
    <row r="49" spans="2:7" x14ac:dyDescent="0.35">
      <c r="B49" s="94">
        <v>44743</v>
      </c>
      <c r="C49" s="49">
        <v>160.69198600000001</v>
      </c>
      <c r="D49" s="3">
        <f t="shared" si="0"/>
        <v>8.8109539421426462</v>
      </c>
      <c r="E49" s="3">
        <v>0.18863366041399399</v>
      </c>
      <c r="F49">
        <v>41</v>
      </c>
      <c r="G49" s="3">
        <f t="shared" ca="1" si="1"/>
        <v>3.4225216843504144E-2</v>
      </c>
    </row>
    <row r="50" spans="2:7" x14ac:dyDescent="0.35">
      <c r="B50" s="94">
        <v>40940</v>
      </c>
      <c r="C50" s="49">
        <v>16.378834000000001</v>
      </c>
      <c r="D50" s="3">
        <f t="shared" si="0"/>
        <v>56.510960515458493</v>
      </c>
      <c r="E50" s="3">
        <v>0.18831040122768902</v>
      </c>
      <c r="F50">
        <v>42</v>
      </c>
      <c r="G50" s="3">
        <f t="shared" ca="1" si="1"/>
        <v>0.19993549984263148</v>
      </c>
    </row>
    <row r="51" spans="2:7" x14ac:dyDescent="0.35">
      <c r="B51" s="94">
        <v>32933</v>
      </c>
      <c r="C51" s="49">
        <v>0.28479500000000002</v>
      </c>
      <c r="D51" s="3">
        <f t="shared" si="0"/>
        <v>-0.86121331322970285</v>
      </c>
      <c r="E51" s="3">
        <v>0.18764048223720703</v>
      </c>
      <c r="F51">
        <v>43</v>
      </c>
      <c r="G51" s="3">
        <f t="shared" ca="1" si="1"/>
        <v>-0.19472894512103359</v>
      </c>
    </row>
    <row r="52" spans="2:7" x14ac:dyDescent="0.35">
      <c r="B52" s="94">
        <v>38899</v>
      </c>
      <c r="C52" s="49">
        <v>2.0520339999999999</v>
      </c>
      <c r="D52" s="3">
        <f t="shared" si="0"/>
        <v>1.0015801686878845</v>
      </c>
      <c r="E52" s="3">
        <v>0.18665921065338617</v>
      </c>
      <c r="F52">
        <v>44</v>
      </c>
      <c r="G52" s="3">
        <f t="shared" ca="1" si="1"/>
        <v>7.3252045919199871E-2</v>
      </c>
    </row>
    <row r="53" spans="2:7" x14ac:dyDescent="0.35">
      <c r="B53" s="94">
        <v>36586</v>
      </c>
      <c r="C53" s="49">
        <v>1.025207</v>
      </c>
      <c r="D53" s="3">
        <f t="shared" si="0"/>
        <v>7.0418483888174217</v>
      </c>
      <c r="E53" s="3">
        <v>0.18484330866274951</v>
      </c>
      <c r="F53">
        <v>45</v>
      </c>
      <c r="G53" s="3">
        <f t="shared" ca="1" si="1"/>
        <v>-2.8424697385116111E-2</v>
      </c>
    </row>
    <row r="54" spans="2:7" x14ac:dyDescent="0.35">
      <c r="B54" s="94">
        <v>31625</v>
      </c>
      <c r="C54" s="49">
        <v>0.12748399999999999</v>
      </c>
      <c r="D54" s="3">
        <f t="shared" si="0"/>
        <v>0.98659851648694097</v>
      </c>
      <c r="E54" s="3">
        <v>0.18400326918790383</v>
      </c>
      <c r="F54">
        <v>46</v>
      </c>
      <c r="G54" s="3">
        <f t="shared" ca="1" si="1"/>
        <v>7.4674577283808108E-2</v>
      </c>
    </row>
    <row r="55" spans="2:7" x14ac:dyDescent="0.35">
      <c r="B55" s="94">
        <v>31321</v>
      </c>
      <c r="C55" s="49">
        <v>6.4172000000000007E-2</v>
      </c>
      <c r="D55" s="3">
        <f t="shared" si="0"/>
        <v>-0.96866306248586898</v>
      </c>
      <c r="E55" s="3">
        <v>0.18252344887316424</v>
      </c>
      <c r="F55">
        <v>47</v>
      </c>
      <c r="G55" s="3">
        <f t="shared" ca="1" si="1"/>
        <v>2.1106976179961413E-2</v>
      </c>
    </row>
    <row r="56" spans="2:7" x14ac:dyDescent="0.35">
      <c r="B56" s="94">
        <v>38657</v>
      </c>
      <c r="C56" s="49">
        <v>2.0478070000000002</v>
      </c>
      <c r="D56" s="3">
        <f t="shared" si="0"/>
        <v>-0.35483264237000367</v>
      </c>
      <c r="E56" s="3">
        <v>0.17763422730022627</v>
      </c>
      <c r="F56">
        <v>48</v>
      </c>
      <c r="G56" s="3">
        <f t="shared" ca="1" si="1"/>
        <v>0.12202117441634844</v>
      </c>
    </row>
    <row r="57" spans="2:7" x14ac:dyDescent="0.35">
      <c r="B57" s="94">
        <v>39873</v>
      </c>
      <c r="C57" s="49">
        <v>3.1740710000000001</v>
      </c>
      <c r="D57" s="3">
        <f t="shared" si="0"/>
        <v>9.3375455555085107</v>
      </c>
      <c r="E57" s="3">
        <v>0.17702392412629991</v>
      </c>
      <c r="F57">
        <v>49</v>
      </c>
      <c r="G57" s="3">
        <f t="shared" ca="1" si="1"/>
        <v>-2.3303074824625208E-2</v>
      </c>
    </row>
    <row r="58" spans="2:7" x14ac:dyDescent="0.35">
      <c r="B58" s="94">
        <v>33208</v>
      </c>
      <c r="C58" s="49">
        <v>0.30704300000000001</v>
      </c>
      <c r="D58" s="3">
        <f t="shared" si="0"/>
        <v>-0.3766269888803393</v>
      </c>
      <c r="E58" s="3">
        <v>0.17398103540567414</v>
      </c>
      <c r="F58">
        <v>50</v>
      </c>
      <c r="G58" s="3">
        <f t="shared" ca="1" si="1"/>
        <v>5.7222781531094877E-2</v>
      </c>
    </row>
    <row r="59" spans="2:7" x14ac:dyDescent="0.35">
      <c r="B59" s="94">
        <v>36373</v>
      </c>
      <c r="C59" s="49">
        <v>0.49255100000000002</v>
      </c>
      <c r="D59" s="3">
        <f t="shared" si="0"/>
        <v>-0.94251111142235533</v>
      </c>
      <c r="E59" s="3">
        <v>0.17171383169032847</v>
      </c>
      <c r="F59">
        <v>51</v>
      </c>
      <c r="G59" s="3">
        <f t="shared" ca="1" si="1"/>
        <v>0.19832162940165002</v>
      </c>
    </row>
    <row r="60" spans="2:7" x14ac:dyDescent="0.35">
      <c r="B60" s="94">
        <v>40422</v>
      </c>
      <c r="C60" s="49">
        <v>8.5677599999999998</v>
      </c>
      <c r="D60" s="3">
        <f t="shared" si="0"/>
        <v>5.3252360956076474</v>
      </c>
      <c r="E60" s="3">
        <v>0.16721552854288382</v>
      </c>
      <c r="F60">
        <v>52</v>
      </c>
      <c r="G60" s="3">
        <f t="shared" ca="1" si="1"/>
        <v>-0.19976350887525474</v>
      </c>
    </row>
    <row r="61" spans="2:7" x14ac:dyDescent="0.35">
      <c r="B61" s="94">
        <v>38384</v>
      </c>
      <c r="C61" s="49">
        <v>1.354536</v>
      </c>
      <c r="D61" s="3">
        <f t="shared" si="0"/>
        <v>2.8589230059199919</v>
      </c>
      <c r="E61" s="3">
        <v>0.1667107383631341</v>
      </c>
      <c r="F61">
        <v>53</v>
      </c>
      <c r="G61" s="3">
        <f t="shared" ca="1" si="1"/>
        <v>0.22796469939294084</v>
      </c>
    </row>
    <row r="62" spans="2:7" x14ac:dyDescent="0.35">
      <c r="B62" s="94">
        <v>37043</v>
      </c>
      <c r="C62" s="49">
        <v>0.35101399999999999</v>
      </c>
      <c r="D62" s="3">
        <f t="shared" si="0"/>
        <v>-0.99661755210947001</v>
      </c>
      <c r="E62" s="3">
        <v>0.16541221077515084</v>
      </c>
      <c r="F62">
        <v>54</v>
      </c>
      <c r="G62" s="3">
        <f t="shared" ca="1" si="1"/>
        <v>-2.9736016439191638E-2</v>
      </c>
    </row>
    <row r="63" spans="2:7" x14ac:dyDescent="0.35">
      <c r="B63" s="94">
        <v>44013</v>
      </c>
      <c r="C63" s="49">
        <v>103.775139</v>
      </c>
      <c r="D63" s="3">
        <f t="shared" si="0"/>
        <v>498.90673397916072</v>
      </c>
      <c r="E63" s="3">
        <v>0.16513186642220878</v>
      </c>
      <c r="F63">
        <v>55</v>
      </c>
      <c r="G63" s="3">
        <f t="shared" ca="1" si="1"/>
        <v>0.11886599527964359</v>
      </c>
    </row>
    <row r="64" spans="2:7" x14ac:dyDescent="0.35">
      <c r="B64" s="94">
        <v>35855</v>
      </c>
      <c r="C64" s="49">
        <v>0.207589</v>
      </c>
      <c r="D64" s="3">
        <f t="shared" si="0"/>
        <v>-0.45497102739204526</v>
      </c>
      <c r="E64" s="3">
        <v>0.16402000695308908</v>
      </c>
      <c r="F64">
        <v>56</v>
      </c>
      <c r="G64" s="3">
        <f t="shared" ca="1" si="1"/>
        <v>0.18449518905307694</v>
      </c>
    </row>
    <row r="65" spans="2:7" x14ac:dyDescent="0.35">
      <c r="B65" s="94">
        <v>33878</v>
      </c>
      <c r="C65" s="49">
        <v>0.38087700000000002</v>
      </c>
      <c r="D65" s="3">
        <f t="shared" si="0"/>
        <v>-0.96769612473424449</v>
      </c>
      <c r="E65" s="3">
        <v>0.16343436996942323</v>
      </c>
      <c r="F65">
        <v>57</v>
      </c>
      <c r="G65" s="3">
        <f t="shared" ca="1" si="1"/>
        <v>-9.5503860802971033E-3</v>
      </c>
    </row>
    <row r="66" spans="2:7" x14ac:dyDescent="0.35">
      <c r="B66" s="94">
        <v>40725</v>
      </c>
      <c r="C66" s="49">
        <v>11.790443</v>
      </c>
      <c r="D66" s="3">
        <f t="shared" si="0"/>
        <v>23.000022391037071</v>
      </c>
      <c r="E66" s="3">
        <v>0.16328561870903427</v>
      </c>
      <c r="F66">
        <v>58</v>
      </c>
      <c r="G66" s="3">
        <f t="shared" ca="1" si="1"/>
        <v>0.17941421801141433</v>
      </c>
    </row>
    <row r="67" spans="2:7" x14ac:dyDescent="0.35">
      <c r="B67" s="94">
        <v>38139</v>
      </c>
      <c r="C67" s="49">
        <v>0.49126799999999998</v>
      </c>
      <c r="D67" s="3">
        <f t="shared" si="0"/>
        <v>-0.61852299067017136</v>
      </c>
      <c r="E67" s="3">
        <v>0.15965743853155562</v>
      </c>
      <c r="F67">
        <v>59</v>
      </c>
      <c r="G67" s="3">
        <f t="shared" ca="1" si="1"/>
        <v>-4.2113270586908079E-2</v>
      </c>
    </row>
    <row r="68" spans="2:7" x14ac:dyDescent="0.35">
      <c r="B68" s="94">
        <v>38534</v>
      </c>
      <c r="C68" s="49">
        <v>1.2878050000000001</v>
      </c>
      <c r="D68" s="3">
        <f t="shared" si="0"/>
        <v>-0.9819984915303287</v>
      </c>
      <c r="E68" s="3">
        <v>0.15865129841678</v>
      </c>
      <c r="F68">
        <v>60</v>
      </c>
      <c r="G68" s="3">
        <f t="shared" ca="1" si="1"/>
        <v>5.9332702339528857E-3</v>
      </c>
    </row>
    <row r="69" spans="2:7" x14ac:dyDescent="0.35">
      <c r="B69" s="94">
        <v>43922</v>
      </c>
      <c r="C69" s="49">
        <v>71.538726999999994</v>
      </c>
      <c r="D69" s="3">
        <f t="shared" si="0"/>
        <v>518.0773913611331</v>
      </c>
      <c r="E69" s="3">
        <v>0.15537375851435076</v>
      </c>
      <c r="F69">
        <v>61</v>
      </c>
      <c r="G69" s="3">
        <f t="shared" ca="1" si="1"/>
        <v>0.1577412104590214</v>
      </c>
    </row>
    <row r="70" spans="2:7" x14ac:dyDescent="0.35">
      <c r="B70" s="94">
        <v>31717</v>
      </c>
      <c r="C70" s="49">
        <v>0.137819</v>
      </c>
      <c r="D70" s="3">
        <f t="shared" si="0"/>
        <v>-0.64187229752203556</v>
      </c>
      <c r="E70" s="3">
        <v>0.15523051131601001</v>
      </c>
      <c r="F70">
        <v>62</v>
      </c>
      <c r="G70" s="3">
        <f t="shared" ca="1" si="1"/>
        <v>-3.2267024296902591E-2</v>
      </c>
    </row>
    <row r="71" spans="2:7" x14ac:dyDescent="0.35">
      <c r="B71" s="94">
        <v>36982</v>
      </c>
      <c r="C71" s="49">
        <v>0.38483200000000001</v>
      </c>
      <c r="D71" s="3">
        <f t="shared" si="0"/>
        <v>-0.99567931172398627</v>
      </c>
      <c r="E71" s="3">
        <v>0.15496144946413398</v>
      </c>
      <c r="F71">
        <v>63</v>
      </c>
      <c r="G71" s="3">
        <f t="shared" ca="1" si="1"/>
        <v>0.13506875209149502</v>
      </c>
    </row>
    <row r="72" spans="2:7" x14ac:dyDescent="0.35">
      <c r="B72" s="94">
        <v>43983</v>
      </c>
      <c r="C72" s="49">
        <v>89.067290999999997</v>
      </c>
      <c r="D72" s="3">
        <f t="shared" si="0"/>
        <v>189.85466362101329</v>
      </c>
      <c r="E72" s="3">
        <v>0.15049203534198913</v>
      </c>
      <c r="F72">
        <v>64</v>
      </c>
      <c r="G72" s="3">
        <f t="shared" ca="1" si="1"/>
        <v>-8.5207421319766274E-2</v>
      </c>
    </row>
    <row r="73" spans="2:7" x14ac:dyDescent="0.35">
      <c r="B73" s="94">
        <v>33604</v>
      </c>
      <c r="C73" s="49">
        <v>0.46667599999999998</v>
      </c>
      <c r="D73" s="3">
        <f t="shared" ref="D73:D136" si="9">(C73-C74)/C74</f>
        <v>-0.93423172874174754</v>
      </c>
      <c r="E73" s="3">
        <v>0.14855998070457815</v>
      </c>
      <c r="F73">
        <v>65</v>
      </c>
      <c r="G73" s="3">
        <f t="shared" ca="1" si="1"/>
        <v>4.9956516158074837E-2</v>
      </c>
    </row>
    <row r="74" spans="2:7" x14ac:dyDescent="0.35">
      <c r="B74" s="94">
        <v>40238</v>
      </c>
      <c r="C74" s="49">
        <v>7.0957619999999997</v>
      </c>
      <c r="D74" s="3">
        <f t="shared" si="9"/>
        <v>0.63763142917675786</v>
      </c>
      <c r="E74" s="3">
        <v>0.14846997174694992</v>
      </c>
      <c r="F74">
        <v>66</v>
      </c>
      <c r="G74" s="3">
        <f t="shared" ref="G74:G137" ca="1" si="10">_xlfn.NORM.INV(RAND(),$L$10,$L$11)</f>
        <v>4.2047321416789352E-2</v>
      </c>
    </row>
    <row r="75" spans="2:7" x14ac:dyDescent="0.35">
      <c r="B75" s="94">
        <v>39508</v>
      </c>
      <c r="C75" s="49">
        <v>4.3329420000000001</v>
      </c>
      <c r="D75" s="3">
        <f t="shared" si="9"/>
        <v>-0.12173382158532718</v>
      </c>
      <c r="E75" s="3">
        <v>0.14781532032105352</v>
      </c>
      <c r="F75">
        <v>67</v>
      </c>
      <c r="G75" s="3">
        <f t="shared" ca="1" si="10"/>
        <v>4.6600131848142004E-2</v>
      </c>
    </row>
    <row r="76" spans="2:7" x14ac:dyDescent="0.35">
      <c r="B76" s="94">
        <v>39995</v>
      </c>
      <c r="C76" s="49">
        <v>4.9335180000000003</v>
      </c>
      <c r="D76" s="3">
        <f t="shared" si="9"/>
        <v>11.975634774100904</v>
      </c>
      <c r="E76" s="3">
        <v>0.14716036120247372</v>
      </c>
      <c r="F76">
        <v>68</v>
      </c>
      <c r="G76" s="3">
        <f t="shared" ca="1" si="10"/>
        <v>-5.7763823759816736E-2</v>
      </c>
    </row>
    <row r="77" spans="2:7" x14ac:dyDescent="0.35">
      <c r="B77" s="94">
        <v>33451</v>
      </c>
      <c r="C77" s="49">
        <v>0.380214</v>
      </c>
      <c r="D77" s="3">
        <f t="shared" si="9"/>
        <v>-0.76511731346602907</v>
      </c>
      <c r="E77" s="3">
        <v>0.14594428420300729</v>
      </c>
      <c r="F77">
        <v>69</v>
      </c>
      <c r="G77" s="3">
        <f t="shared" ca="1" si="10"/>
        <v>-6.2856329692261348E-2</v>
      </c>
    </row>
    <row r="78" spans="2:7" x14ac:dyDescent="0.35">
      <c r="B78" s="94">
        <v>38596</v>
      </c>
      <c r="C78" s="49">
        <v>1.6187400000000001</v>
      </c>
      <c r="D78" s="3">
        <f t="shared" si="9"/>
        <v>-0.8840235518007572</v>
      </c>
      <c r="E78" s="3">
        <v>0.14331442100081154</v>
      </c>
      <c r="F78">
        <v>70</v>
      </c>
      <c r="G78" s="3">
        <f t="shared" ca="1" si="10"/>
        <v>2.5914432088079351E-2</v>
      </c>
    </row>
    <row r="79" spans="2:7" x14ac:dyDescent="0.35">
      <c r="B79" s="94">
        <v>41456</v>
      </c>
      <c r="C79" s="49">
        <v>13.957489000000001</v>
      </c>
      <c r="D79" s="3">
        <f t="shared" si="9"/>
        <v>-0.70771499011266514</v>
      </c>
      <c r="E79" s="3">
        <v>0.14122511460909934</v>
      </c>
      <c r="F79">
        <v>71</v>
      </c>
      <c r="G79" s="3">
        <f t="shared" ca="1" si="10"/>
        <v>-5.9374846194178897E-2</v>
      </c>
    </row>
    <row r="80" spans="2:7" x14ac:dyDescent="0.35">
      <c r="B80" s="94">
        <v>43617</v>
      </c>
      <c r="C80" s="49">
        <v>47.753010000000003</v>
      </c>
      <c r="D80" s="3">
        <f t="shared" si="9"/>
        <v>19.544310316121518</v>
      </c>
      <c r="E80" s="3">
        <v>0.13487294157422086</v>
      </c>
      <c r="F80">
        <v>72</v>
      </c>
      <c r="G80" s="3">
        <f t="shared" ca="1" si="10"/>
        <v>5.0509630344616537E-2</v>
      </c>
    </row>
    <row r="81" spans="2:7" x14ac:dyDescent="0.35">
      <c r="B81" s="94">
        <v>38961</v>
      </c>
      <c r="C81" s="49">
        <v>2.3243909999999999</v>
      </c>
      <c r="D81" s="3">
        <f t="shared" si="9"/>
        <v>-0.90655718329359469</v>
      </c>
      <c r="E81" s="3">
        <v>0.13456210536180771</v>
      </c>
      <c r="F81">
        <v>73</v>
      </c>
      <c r="G81" s="3">
        <f t="shared" ca="1" si="10"/>
        <v>0.20896625025666685</v>
      </c>
    </row>
    <row r="82" spans="2:7" x14ac:dyDescent="0.35">
      <c r="B82" s="94">
        <v>42430</v>
      </c>
      <c r="C82" s="49">
        <v>24.87501</v>
      </c>
      <c r="D82" s="3">
        <f t="shared" si="9"/>
        <v>92.82936829756818</v>
      </c>
      <c r="E82" s="3">
        <v>0.13332714920429292</v>
      </c>
      <c r="F82">
        <v>74</v>
      </c>
      <c r="G82" s="3">
        <f t="shared" ca="1" si="10"/>
        <v>-0.11602758714279079</v>
      </c>
    </row>
    <row r="83" spans="2:7" x14ac:dyDescent="0.35">
      <c r="B83" s="94">
        <v>37165</v>
      </c>
      <c r="C83" s="49">
        <v>0.26510899999999998</v>
      </c>
      <c r="D83" s="3">
        <f t="shared" si="9"/>
        <v>-0.99400752350113664</v>
      </c>
      <c r="E83" s="3">
        <v>0.13217031089853082</v>
      </c>
      <c r="F83">
        <v>75</v>
      </c>
      <c r="G83" s="3">
        <f t="shared" ca="1" si="10"/>
        <v>0.13051656649628671</v>
      </c>
    </row>
    <row r="84" spans="2:7" x14ac:dyDescent="0.35">
      <c r="B84" s="94">
        <v>43221</v>
      </c>
      <c r="C84" s="49">
        <v>44.240307000000001</v>
      </c>
      <c r="D84" s="3">
        <f t="shared" si="9"/>
        <v>14.984791068234783</v>
      </c>
      <c r="E84" s="3">
        <v>0.13076350876651299</v>
      </c>
      <c r="F84">
        <v>76</v>
      </c>
      <c r="G84" s="3">
        <f t="shared" ca="1" si="10"/>
        <v>0.14418960265641151</v>
      </c>
    </row>
    <row r="85" spans="2:7" x14ac:dyDescent="0.35">
      <c r="B85" s="94">
        <v>39022</v>
      </c>
      <c r="C85" s="49">
        <v>2.7676500000000002</v>
      </c>
      <c r="D85" s="3">
        <f t="shared" si="9"/>
        <v>5.7795842080380568</v>
      </c>
      <c r="E85" s="3">
        <v>0.13048870001458221</v>
      </c>
      <c r="F85">
        <v>77</v>
      </c>
      <c r="G85" s="3">
        <f t="shared" ca="1" si="10"/>
        <v>-0.16832758993153624</v>
      </c>
    </row>
    <row r="86" spans="2:7" x14ac:dyDescent="0.35">
      <c r="B86" s="94">
        <v>38047</v>
      </c>
      <c r="C86" s="49">
        <v>0.40823300000000001</v>
      </c>
      <c r="D86" s="3">
        <f t="shared" si="9"/>
        <v>3.1941028407047822</v>
      </c>
      <c r="E86" s="3">
        <v>0.13043538458556372</v>
      </c>
      <c r="F86">
        <v>78</v>
      </c>
      <c r="G86" s="3">
        <f t="shared" ca="1" si="10"/>
        <v>-9.1071448843404984E-2</v>
      </c>
    </row>
    <row r="87" spans="2:7" x14ac:dyDescent="0.35">
      <c r="B87" s="94">
        <v>31472</v>
      </c>
      <c r="C87" s="49">
        <v>9.7335000000000005E-2</v>
      </c>
      <c r="D87" s="3">
        <f t="shared" si="9"/>
        <v>-0.99693805779151279</v>
      </c>
      <c r="E87" s="3">
        <v>0.13000220578845326</v>
      </c>
      <c r="F87">
        <v>79</v>
      </c>
      <c r="G87" s="3">
        <f t="shared" ca="1" si="10"/>
        <v>1.9745208079176464E-2</v>
      </c>
    </row>
    <row r="88" spans="2:7" x14ac:dyDescent="0.35">
      <c r="B88" s="94">
        <v>42767</v>
      </c>
      <c r="C88" s="49">
        <v>31.788647000000001</v>
      </c>
      <c r="D88" s="3">
        <f t="shared" si="9"/>
        <v>84.176984890422744</v>
      </c>
      <c r="E88" s="3">
        <v>0.12888349877442207</v>
      </c>
      <c r="F88">
        <v>80</v>
      </c>
      <c r="G88" s="3">
        <f t="shared" ca="1" si="10"/>
        <v>0.14520221692952898</v>
      </c>
    </row>
    <row r="89" spans="2:7" x14ac:dyDescent="0.35">
      <c r="B89" s="94">
        <v>37257</v>
      </c>
      <c r="C89" s="49">
        <v>0.37320700000000001</v>
      </c>
      <c r="D89" s="3">
        <f t="shared" si="9"/>
        <v>-0.97292323984045614</v>
      </c>
      <c r="E89" s="3">
        <v>0.12876854025018761</v>
      </c>
      <c r="F89">
        <v>81</v>
      </c>
      <c r="G89" s="3">
        <f t="shared" ca="1" si="10"/>
        <v>-2.756963831454446E-2</v>
      </c>
    </row>
    <row r="90" spans="2:7" x14ac:dyDescent="0.35">
      <c r="B90" s="94">
        <v>40909</v>
      </c>
      <c r="C90" s="49">
        <v>13.783296</v>
      </c>
      <c r="D90" s="3">
        <f t="shared" si="9"/>
        <v>22.560263442633882</v>
      </c>
      <c r="E90" s="3">
        <v>0.12711135650495203</v>
      </c>
      <c r="F90">
        <v>82</v>
      </c>
      <c r="G90" s="3">
        <f t="shared" ca="1" si="10"/>
        <v>-7.4536363429774211E-2</v>
      </c>
    </row>
    <row r="91" spans="2:7" x14ac:dyDescent="0.35">
      <c r="B91" s="94">
        <v>38231</v>
      </c>
      <c r="C91" s="49">
        <v>0.58502299999999996</v>
      </c>
      <c r="D91" s="3">
        <f t="shared" si="9"/>
        <v>3.2465901584605446</v>
      </c>
      <c r="E91" s="3">
        <v>0.12351452253470278</v>
      </c>
      <c r="F91">
        <v>83</v>
      </c>
      <c r="G91" s="3">
        <f t="shared" ca="1" si="10"/>
        <v>6.4101888060169171E-2</v>
      </c>
    </row>
    <row r="92" spans="2:7" x14ac:dyDescent="0.35">
      <c r="B92" s="94">
        <v>35490</v>
      </c>
      <c r="C92" s="49">
        <v>0.137763</v>
      </c>
      <c r="D92" s="3">
        <f t="shared" si="9"/>
        <v>-0.93518276734761852</v>
      </c>
      <c r="E92" s="3">
        <v>0.12307403844586112</v>
      </c>
      <c r="F92">
        <v>84</v>
      </c>
      <c r="G92" s="3">
        <f t="shared" ca="1" si="10"/>
        <v>0.18227820112368159</v>
      </c>
    </row>
    <row r="93" spans="2:7" x14ac:dyDescent="0.35">
      <c r="B93" s="94">
        <v>38808</v>
      </c>
      <c r="C93" s="49">
        <v>2.125407</v>
      </c>
      <c r="D93" s="3">
        <f t="shared" si="9"/>
        <v>5.0986763385107157</v>
      </c>
      <c r="E93" s="3">
        <v>0.12228920052338821</v>
      </c>
      <c r="F93">
        <v>85</v>
      </c>
      <c r="G93" s="3">
        <f t="shared" ca="1" si="10"/>
        <v>0.17301273670338532</v>
      </c>
    </row>
    <row r="94" spans="2:7" x14ac:dyDescent="0.35">
      <c r="B94" s="94">
        <v>34851</v>
      </c>
      <c r="C94" s="49">
        <v>0.34850300000000001</v>
      </c>
      <c r="D94" s="3">
        <f t="shared" si="9"/>
        <v>-0.99787241702279572</v>
      </c>
      <c r="E94" s="3">
        <v>0.12039388659203872</v>
      </c>
      <c r="F94">
        <v>86</v>
      </c>
      <c r="G94" s="3">
        <f t="shared" ca="1" si="10"/>
        <v>5.9885693988778854E-2</v>
      </c>
    </row>
    <row r="95" spans="2:7" x14ac:dyDescent="0.35">
      <c r="B95" s="94">
        <v>44986</v>
      </c>
      <c r="C95" s="49">
        <v>163.80230700000001</v>
      </c>
      <c r="D95" s="3">
        <f t="shared" si="9"/>
        <v>678.58174780321451</v>
      </c>
      <c r="E95" s="3">
        <v>0.12035663089430201</v>
      </c>
      <c r="F95">
        <v>87</v>
      </c>
      <c r="G95" s="3">
        <f t="shared" ca="1" si="10"/>
        <v>8.5037629289809707E-2</v>
      </c>
    </row>
    <row r="96" spans="2:7" x14ac:dyDescent="0.35">
      <c r="B96" s="94">
        <v>34335</v>
      </c>
      <c r="C96" s="49">
        <v>0.241034</v>
      </c>
      <c r="D96" s="3">
        <f t="shared" si="9"/>
        <v>-0.22830102900026256</v>
      </c>
      <c r="E96" s="3">
        <v>0.11965625362907911</v>
      </c>
      <c r="F96">
        <v>88</v>
      </c>
      <c r="G96" s="3">
        <f t="shared" ca="1" si="10"/>
        <v>6.4664293320565863E-2</v>
      </c>
    </row>
    <row r="97" spans="2:7" x14ac:dyDescent="0.35">
      <c r="B97" s="94">
        <v>32721</v>
      </c>
      <c r="C97" s="49">
        <v>0.31234200000000001</v>
      </c>
      <c r="D97" s="3">
        <f t="shared" si="9"/>
        <v>-2.8693686269509765E-2</v>
      </c>
      <c r="E97" s="3">
        <v>0.11949333878130346</v>
      </c>
      <c r="F97">
        <v>89</v>
      </c>
      <c r="G97" s="3">
        <f t="shared" ca="1" si="10"/>
        <v>-4.3374511849570245E-2</v>
      </c>
    </row>
    <row r="98" spans="2:7" x14ac:dyDescent="0.35">
      <c r="B98" s="94">
        <v>32295</v>
      </c>
      <c r="C98" s="49">
        <v>0.32156899999999999</v>
      </c>
      <c r="D98" s="3">
        <f t="shared" si="9"/>
        <v>-0.99752724213750588</v>
      </c>
      <c r="E98" s="3">
        <v>0.11665983734642706</v>
      </c>
      <c r="F98">
        <v>90</v>
      </c>
      <c r="G98" s="3">
        <f t="shared" ca="1" si="10"/>
        <v>-5.6651195057839242E-2</v>
      </c>
    </row>
    <row r="99" spans="2:7" x14ac:dyDescent="0.35">
      <c r="B99" s="94">
        <v>44166</v>
      </c>
      <c r="C99" s="49">
        <v>130.044678</v>
      </c>
      <c r="D99" s="3">
        <f t="shared" si="9"/>
        <v>-0.31415667869862463</v>
      </c>
      <c r="E99" s="3">
        <v>0.11649657762838046</v>
      </c>
      <c r="F99">
        <v>91</v>
      </c>
      <c r="G99" s="3">
        <f t="shared" ca="1" si="10"/>
        <v>-3.5069778089629286E-2</v>
      </c>
    </row>
    <row r="100" spans="2:7" x14ac:dyDescent="0.35">
      <c r="B100" s="94">
        <v>45413</v>
      </c>
      <c r="C100" s="49">
        <v>189.612808</v>
      </c>
      <c r="D100" s="3">
        <f t="shared" si="9"/>
        <v>704.84331783511334</v>
      </c>
      <c r="E100" s="3">
        <v>0.11471840426093728</v>
      </c>
      <c r="F100">
        <v>92</v>
      </c>
      <c r="G100" s="3">
        <f t="shared" ca="1" si="10"/>
        <v>8.8885490814566443E-3</v>
      </c>
    </row>
    <row r="101" spans="2:7" x14ac:dyDescent="0.35">
      <c r="B101" s="94">
        <v>34366</v>
      </c>
      <c r="C101" s="49">
        <v>0.26863300000000001</v>
      </c>
      <c r="D101" s="3">
        <f t="shared" si="9"/>
        <v>-0.19035477152785937</v>
      </c>
      <c r="E101" s="3">
        <v>0.114502518316918</v>
      </c>
      <c r="F101">
        <v>93</v>
      </c>
      <c r="G101" s="3">
        <f t="shared" ca="1" si="10"/>
        <v>0.30920573335387358</v>
      </c>
    </row>
    <row r="102" spans="2:7" x14ac:dyDescent="0.35">
      <c r="B102" s="94">
        <v>33420</v>
      </c>
      <c r="C102" s="49">
        <v>0.331791</v>
      </c>
      <c r="D102" s="3">
        <f t="shared" si="9"/>
        <v>-0.18341233627194733</v>
      </c>
      <c r="E102" s="3">
        <v>0.11445845859294962</v>
      </c>
      <c r="F102">
        <v>94</v>
      </c>
      <c r="G102" s="3">
        <f t="shared" ca="1" si="10"/>
        <v>-3.8616331740592723E-2</v>
      </c>
    </row>
    <row r="103" spans="2:7" x14ac:dyDescent="0.35">
      <c r="B103" s="94">
        <v>33573</v>
      </c>
      <c r="C103" s="49">
        <v>0.40631400000000001</v>
      </c>
      <c r="D103" s="3">
        <f t="shared" si="9"/>
        <v>-0.99785248219583822</v>
      </c>
      <c r="E103" s="3">
        <v>0.11350936570794333</v>
      </c>
      <c r="F103">
        <v>95</v>
      </c>
      <c r="G103" s="3">
        <f t="shared" ca="1" si="10"/>
        <v>9.0362337901261802E-2</v>
      </c>
    </row>
    <row r="104" spans="2:7" x14ac:dyDescent="0.35">
      <c r="B104" s="94">
        <v>45231</v>
      </c>
      <c r="C104" s="49">
        <v>189.20169100000001</v>
      </c>
      <c r="D104" s="3">
        <f t="shared" si="9"/>
        <v>22.999570117250553</v>
      </c>
      <c r="E104" s="3">
        <v>0.11231474863263526</v>
      </c>
      <c r="F104">
        <v>96</v>
      </c>
      <c r="G104" s="3">
        <f t="shared" ca="1" si="10"/>
        <v>4.9402796704947891E-2</v>
      </c>
    </row>
    <row r="105" spans="2:7" x14ac:dyDescent="0.35">
      <c r="B105" s="94">
        <v>40269</v>
      </c>
      <c r="C105" s="49">
        <v>7.8835449999999998</v>
      </c>
      <c r="D105" s="3">
        <f t="shared" si="9"/>
        <v>-0.86914719630608639</v>
      </c>
      <c r="E105" s="3">
        <v>0.11102162107466403</v>
      </c>
      <c r="F105">
        <v>97</v>
      </c>
      <c r="G105" s="3">
        <f t="shared" ca="1" si="10"/>
        <v>-2.5992178209523209E-4</v>
      </c>
    </row>
    <row r="106" spans="2:7" x14ac:dyDescent="0.35">
      <c r="B106" s="94">
        <v>43739</v>
      </c>
      <c r="C106" s="49">
        <v>60.247428999999997</v>
      </c>
      <c r="D106" s="3">
        <f t="shared" si="9"/>
        <v>-0.57901610894949462</v>
      </c>
      <c r="E106" s="3">
        <v>0.11068429312749456</v>
      </c>
      <c r="F106">
        <v>98</v>
      </c>
      <c r="G106" s="3">
        <f t="shared" ca="1" si="10"/>
        <v>-0.14727006839070528</v>
      </c>
    </row>
    <row r="107" spans="2:7" x14ac:dyDescent="0.35">
      <c r="B107" s="94">
        <v>44927</v>
      </c>
      <c r="C107" s="49">
        <v>143.111008</v>
      </c>
      <c r="D107" s="3">
        <f t="shared" si="9"/>
        <v>-5.7458042376074478E-2</v>
      </c>
      <c r="E107" s="3">
        <v>0.11052101878826767</v>
      </c>
      <c r="F107">
        <v>99</v>
      </c>
      <c r="G107" s="3">
        <f t="shared" ca="1" si="10"/>
        <v>-5.8120439233767529E-3</v>
      </c>
    </row>
    <row r="108" spans="2:7" x14ac:dyDescent="0.35">
      <c r="B108" s="94">
        <v>44835</v>
      </c>
      <c r="C108" s="49">
        <v>151.835159</v>
      </c>
      <c r="D108" s="3">
        <f t="shared" si="9"/>
        <v>624.83016231544764</v>
      </c>
      <c r="E108" s="3">
        <v>0.10955128750856363</v>
      </c>
      <c r="F108">
        <v>100</v>
      </c>
      <c r="G108" s="3">
        <f t="shared" ca="1" si="10"/>
        <v>4.3616662390261546E-2</v>
      </c>
    </row>
    <row r="109" spans="2:7" x14ac:dyDescent="0.35">
      <c r="B109" s="94">
        <v>37530</v>
      </c>
      <c r="C109" s="49">
        <v>0.242614</v>
      </c>
      <c r="D109" s="3">
        <f t="shared" si="9"/>
        <v>-0.94764464113616231</v>
      </c>
      <c r="E109" s="3">
        <v>0.10827181698582079</v>
      </c>
      <c r="F109">
        <v>101</v>
      </c>
      <c r="G109" s="3">
        <f t="shared" ca="1" si="10"/>
        <v>2.4699277160949509E-3</v>
      </c>
    </row>
    <row r="110" spans="2:7" x14ac:dyDescent="0.35">
      <c r="B110" s="94">
        <v>39326</v>
      </c>
      <c r="C110" s="49">
        <v>4.6339860000000002</v>
      </c>
      <c r="D110" s="3">
        <f t="shared" si="9"/>
        <v>13.560698563721315</v>
      </c>
      <c r="E110" s="3">
        <v>0.10824639208986155</v>
      </c>
      <c r="F110">
        <v>102</v>
      </c>
      <c r="G110" s="3">
        <f t="shared" ca="1" si="10"/>
        <v>0.21502351530216043</v>
      </c>
    </row>
    <row r="111" spans="2:7" x14ac:dyDescent="0.35">
      <c r="B111" s="94">
        <v>37803</v>
      </c>
      <c r="C111" s="49">
        <v>0.31825300000000001</v>
      </c>
      <c r="D111" s="3">
        <f t="shared" si="9"/>
        <v>-0.9824201189057149</v>
      </c>
      <c r="E111" s="3">
        <v>0.10598215154505899</v>
      </c>
      <c r="F111">
        <v>103</v>
      </c>
      <c r="G111" s="3">
        <f t="shared" ca="1" si="10"/>
        <v>8.9676123972546012E-2</v>
      </c>
    </row>
    <row r="112" spans="2:7" x14ac:dyDescent="0.35">
      <c r="B112" s="94">
        <v>40969</v>
      </c>
      <c r="C112" s="49">
        <v>18.103251</v>
      </c>
      <c r="D112" s="3">
        <f t="shared" si="9"/>
        <v>42.878797500569597</v>
      </c>
      <c r="E112" s="3">
        <v>0.10528325764825498</v>
      </c>
      <c r="F112">
        <v>104</v>
      </c>
      <c r="G112" s="3">
        <f t="shared" ca="1" si="10"/>
        <v>0.23342678739236422</v>
      </c>
    </row>
    <row r="113" spans="2:7" x14ac:dyDescent="0.35">
      <c r="B113" s="94">
        <v>34090</v>
      </c>
      <c r="C113" s="49">
        <v>0.412574</v>
      </c>
      <c r="D113" s="3">
        <f t="shared" si="9"/>
        <v>-0.52318356855910542</v>
      </c>
      <c r="E113" s="3">
        <v>0.10487611538997132</v>
      </c>
      <c r="F113">
        <v>105</v>
      </c>
      <c r="G113" s="3">
        <f t="shared" ca="1" si="10"/>
        <v>-0.20914425213776025</v>
      </c>
    </row>
    <row r="114" spans="2:7" x14ac:dyDescent="0.35">
      <c r="B114" s="94">
        <v>36557</v>
      </c>
      <c r="C114" s="49">
        <v>0.86526800000000004</v>
      </c>
      <c r="D114" s="3">
        <f t="shared" si="9"/>
        <v>1.5038211233900209</v>
      </c>
      <c r="E114" s="3">
        <v>0.10481935095048885</v>
      </c>
      <c r="F114">
        <v>106</v>
      </c>
      <c r="G114" s="3">
        <f t="shared" ca="1" si="10"/>
        <v>-9.8073093172832554E-3</v>
      </c>
    </row>
    <row r="115" spans="2:7" x14ac:dyDescent="0.35">
      <c r="B115" s="94">
        <v>37895</v>
      </c>
      <c r="C115" s="49">
        <v>0.34557900000000003</v>
      </c>
      <c r="D115" s="3">
        <f t="shared" si="9"/>
        <v>-0.99787683235249447</v>
      </c>
      <c r="E115" s="3">
        <v>0.10472862814799673</v>
      </c>
      <c r="F115">
        <v>107</v>
      </c>
      <c r="G115" s="3">
        <f t="shared" ca="1" si="10"/>
        <v>-3.1369852144862639E-3</v>
      </c>
    </row>
    <row r="116" spans="2:7" x14ac:dyDescent="0.35">
      <c r="B116" s="94">
        <v>44501</v>
      </c>
      <c r="C116" s="49">
        <v>162.765762</v>
      </c>
      <c r="D116" s="3">
        <f t="shared" si="9"/>
        <v>3.2410003028471457</v>
      </c>
      <c r="E116" s="3">
        <v>0.10347157726044162</v>
      </c>
      <c r="F116">
        <v>108</v>
      </c>
      <c r="G116" s="3">
        <f t="shared" ca="1" si="10"/>
        <v>0.16387083927889842</v>
      </c>
    </row>
    <row r="117" spans="2:7" x14ac:dyDescent="0.35">
      <c r="B117" s="94">
        <v>42948</v>
      </c>
      <c r="C117" s="49">
        <v>38.379097000000002</v>
      </c>
      <c r="D117" s="3">
        <f t="shared" si="9"/>
        <v>30.968141889246692</v>
      </c>
      <c r="E117" s="3">
        <v>0.10266887485278607</v>
      </c>
      <c r="F117">
        <v>109</v>
      </c>
      <c r="G117" s="3">
        <f t="shared" ca="1" si="10"/>
        <v>4.8205613473936759E-2</v>
      </c>
    </row>
    <row r="118" spans="2:7" x14ac:dyDescent="0.35">
      <c r="B118" s="94">
        <v>38473</v>
      </c>
      <c r="C118" s="49">
        <v>1.200542</v>
      </c>
      <c r="D118" s="3">
        <f t="shared" si="9"/>
        <v>5.558331876584214</v>
      </c>
      <c r="E118" s="3">
        <v>0.10260630295861035</v>
      </c>
      <c r="F118">
        <v>110</v>
      </c>
      <c r="G118" s="3">
        <f t="shared" ca="1" si="10"/>
        <v>0.23283173735346582</v>
      </c>
    </row>
    <row r="119" spans="2:7" x14ac:dyDescent="0.35">
      <c r="B119" s="94">
        <v>35278</v>
      </c>
      <c r="C119" s="49">
        <v>0.183056</v>
      </c>
      <c r="D119" s="3">
        <f t="shared" si="9"/>
        <v>-0.99743377937893363</v>
      </c>
      <c r="E119" s="3">
        <v>0.10227553275406302</v>
      </c>
      <c r="F119">
        <v>111</v>
      </c>
      <c r="G119" s="3">
        <f t="shared" ca="1" si="10"/>
        <v>0.20748048594504975</v>
      </c>
    </row>
    <row r="120" spans="2:7" x14ac:dyDescent="0.35">
      <c r="B120" s="94">
        <v>43800</v>
      </c>
      <c r="C120" s="49">
        <v>71.332915999999997</v>
      </c>
      <c r="D120" s="3">
        <f t="shared" si="9"/>
        <v>11.745768320600593</v>
      </c>
      <c r="E120" s="3">
        <v>0.10208284370184079</v>
      </c>
      <c r="F120">
        <v>112</v>
      </c>
      <c r="G120" s="3">
        <f t="shared" ca="1" si="10"/>
        <v>-0.15107507479141336</v>
      </c>
    </row>
    <row r="121" spans="2:7" x14ac:dyDescent="0.35">
      <c r="B121" s="94">
        <v>40057</v>
      </c>
      <c r="C121" s="49">
        <v>5.5965959999999999</v>
      </c>
      <c r="D121" s="3">
        <f t="shared" si="9"/>
        <v>-0.87741344506008645</v>
      </c>
      <c r="E121" s="3">
        <v>0.10189623707856119</v>
      </c>
      <c r="F121">
        <v>113</v>
      </c>
      <c r="G121" s="3">
        <f t="shared" ca="1" si="10"/>
        <v>-2.9029800331127384E-2</v>
      </c>
    </row>
    <row r="122" spans="2:7" x14ac:dyDescent="0.35">
      <c r="B122" s="94">
        <v>43525</v>
      </c>
      <c r="C122" s="49">
        <v>45.654240000000001</v>
      </c>
      <c r="D122" s="3">
        <f t="shared" si="9"/>
        <v>0.72734736623854634</v>
      </c>
      <c r="E122" s="3">
        <v>0.10173071250187264</v>
      </c>
      <c r="F122">
        <v>114</v>
      </c>
      <c r="G122" s="3">
        <f t="shared" ca="1" si="10"/>
        <v>-1.384857309487271E-2</v>
      </c>
    </row>
    <row r="123" spans="2:7" x14ac:dyDescent="0.35">
      <c r="B123" s="94">
        <v>41944</v>
      </c>
      <c r="C123" s="49">
        <v>26.430260000000001</v>
      </c>
      <c r="D123" s="3">
        <f t="shared" si="9"/>
        <v>-0.80372373624968518</v>
      </c>
      <c r="E123" s="3">
        <v>0.10120361662875271</v>
      </c>
      <c r="F123">
        <v>115</v>
      </c>
      <c r="G123" s="3">
        <f t="shared" ca="1" si="10"/>
        <v>-4.3746328414249601E-2</v>
      </c>
    </row>
    <row r="124" spans="2:7" x14ac:dyDescent="0.35">
      <c r="B124" s="94">
        <v>44348</v>
      </c>
      <c r="C124" s="49">
        <v>134.65846300000001</v>
      </c>
      <c r="D124" s="3">
        <f t="shared" si="9"/>
        <v>94.109135906757245</v>
      </c>
      <c r="E124" s="3">
        <v>0.10097612385100768</v>
      </c>
      <c r="F124">
        <v>116</v>
      </c>
      <c r="G124" s="3">
        <f t="shared" ca="1" si="10"/>
        <v>0.19525834812744489</v>
      </c>
    </row>
    <row r="125" spans="2:7" x14ac:dyDescent="0.35">
      <c r="B125" s="94">
        <v>38565</v>
      </c>
      <c r="C125" s="49">
        <v>1.4158310000000001</v>
      </c>
      <c r="D125" s="3">
        <f t="shared" si="9"/>
        <v>-0.92362431841671999</v>
      </c>
      <c r="E125" s="3">
        <v>9.9414119373662915E-2</v>
      </c>
      <c r="F125">
        <v>117</v>
      </c>
      <c r="G125" s="3">
        <f t="shared" ca="1" si="10"/>
        <v>6.8231760768490801E-2</v>
      </c>
    </row>
    <row r="126" spans="2:7" x14ac:dyDescent="0.35">
      <c r="B126" s="94">
        <v>41730</v>
      </c>
      <c r="C126" s="49">
        <v>18.53772</v>
      </c>
      <c r="D126" s="3">
        <f t="shared" si="9"/>
        <v>5.6078870233154499</v>
      </c>
      <c r="E126" s="3">
        <v>9.9395957663186693E-2</v>
      </c>
      <c r="F126">
        <v>118</v>
      </c>
      <c r="G126" s="3">
        <f t="shared" ca="1" si="10"/>
        <v>0.1567411109955783</v>
      </c>
    </row>
    <row r="127" spans="2:7" x14ac:dyDescent="0.35">
      <c r="B127" s="94">
        <v>39142</v>
      </c>
      <c r="C127" s="49">
        <v>2.805393</v>
      </c>
      <c r="D127" s="3">
        <f t="shared" si="9"/>
        <v>-0.92935992539841583</v>
      </c>
      <c r="E127" s="3">
        <v>9.8097015903932105E-2</v>
      </c>
      <c r="F127">
        <v>119</v>
      </c>
      <c r="G127" s="3">
        <f t="shared" ca="1" si="10"/>
        <v>6.8228780041175996E-3</v>
      </c>
    </row>
    <row r="128" spans="2:7" x14ac:dyDescent="0.35">
      <c r="B128" s="94">
        <v>43009</v>
      </c>
      <c r="C128" s="49">
        <v>39.713901999999997</v>
      </c>
      <c r="D128" s="3">
        <f t="shared" si="9"/>
        <v>0.38511436097953633</v>
      </c>
      <c r="E128" s="3">
        <v>9.6807427465441298E-2</v>
      </c>
      <c r="F128">
        <v>120</v>
      </c>
      <c r="G128" s="3">
        <f t="shared" ca="1" si="10"/>
        <v>0.15338143707262816</v>
      </c>
    </row>
    <row r="129" spans="2:7" x14ac:dyDescent="0.35">
      <c r="B129" s="94">
        <v>42036</v>
      </c>
      <c r="C129" s="49">
        <v>28.67193</v>
      </c>
      <c r="D129" s="3">
        <f t="shared" si="9"/>
        <v>0.76679516304135487</v>
      </c>
      <c r="E129" s="3">
        <v>9.6449177838930616E-2</v>
      </c>
      <c r="F129">
        <v>121</v>
      </c>
      <c r="G129" s="3">
        <f t="shared" ca="1" si="10"/>
        <v>7.7155763034899807E-2</v>
      </c>
    </row>
    <row r="130" spans="2:7" x14ac:dyDescent="0.35">
      <c r="B130" s="94">
        <v>41548</v>
      </c>
      <c r="C130" s="49">
        <v>16.228214000000001</v>
      </c>
      <c r="D130" s="3">
        <f t="shared" si="9"/>
        <v>-0.91589216402275364</v>
      </c>
      <c r="E130" s="3">
        <v>9.6381751470397722E-2</v>
      </c>
      <c r="F130">
        <v>122</v>
      </c>
      <c r="G130" s="3">
        <f t="shared" ca="1" si="10"/>
        <v>-0.10034376316960825</v>
      </c>
    </row>
    <row r="131" spans="2:7" x14ac:dyDescent="0.35">
      <c r="B131" s="94">
        <v>45078</v>
      </c>
      <c r="C131" s="49">
        <v>192.94532799999999</v>
      </c>
      <c r="D131" s="3">
        <f t="shared" si="9"/>
        <v>461.53114100169961</v>
      </c>
      <c r="E131" s="3">
        <v>9.5843809345503864E-2</v>
      </c>
      <c r="F131">
        <v>123</v>
      </c>
      <c r="G131" s="3">
        <f t="shared" ca="1" si="10"/>
        <v>1.7487494228303414E-2</v>
      </c>
    </row>
    <row r="132" spans="2:7" x14ac:dyDescent="0.35">
      <c r="B132" s="94">
        <v>33909</v>
      </c>
      <c r="C132" s="49">
        <v>0.41715099999999999</v>
      </c>
      <c r="D132" s="3">
        <f t="shared" si="9"/>
        <v>0.5272424397744746</v>
      </c>
      <c r="E132" s="3">
        <v>9.5238095238095163E-2</v>
      </c>
      <c r="F132">
        <v>124</v>
      </c>
      <c r="G132" s="3">
        <f t="shared" ca="1" si="10"/>
        <v>2.6352391364777017E-3</v>
      </c>
    </row>
    <row r="133" spans="2:7" x14ac:dyDescent="0.35">
      <c r="B133" s="94">
        <v>32599</v>
      </c>
      <c r="C133" s="49">
        <v>0.27313999999999999</v>
      </c>
      <c r="D133" s="3">
        <f t="shared" si="9"/>
        <v>-0.99765496074192739</v>
      </c>
      <c r="E133" s="3">
        <v>9.4736335835641214E-2</v>
      </c>
      <c r="F133">
        <v>125</v>
      </c>
      <c r="G133" s="3">
        <f t="shared" ca="1" si="10"/>
        <v>-7.7186038612263669E-2</v>
      </c>
    </row>
    <row r="134" spans="2:7" x14ac:dyDescent="0.35">
      <c r="B134" s="94">
        <v>44136</v>
      </c>
      <c r="C134" s="49">
        <v>116.475662</v>
      </c>
      <c r="D134" s="3">
        <f t="shared" si="9"/>
        <v>1535.5979604490708</v>
      </c>
      <c r="E134" s="3">
        <v>9.3606452939013443E-2</v>
      </c>
      <c r="F134">
        <v>126</v>
      </c>
      <c r="G134" s="3">
        <f t="shared" ca="1" si="10"/>
        <v>-0.11284349674860675</v>
      </c>
    </row>
    <row r="135" spans="2:7" x14ac:dyDescent="0.35">
      <c r="B135" s="94">
        <v>31382</v>
      </c>
      <c r="C135" s="49">
        <v>7.5800999999999993E-2</v>
      </c>
      <c r="D135" s="3">
        <f t="shared" si="9"/>
        <v>-0.78788319738075585</v>
      </c>
      <c r="E135" s="3">
        <v>9.3162775270042159E-2</v>
      </c>
      <c r="F135">
        <v>127</v>
      </c>
      <c r="G135" s="3">
        <f t="shared" ca="1" si="10"/>
        <v>1.9926501841962683E-2</v>
      </c>
    </row>
    <row r="136" spans="2:7" x14ac:dyDescent="0.35">
      <c r="B136" s="94">
        <v>37316</v>
      </c>
      <c r="C136" s="49">
        <v>0.35735499999999998</v>
      </c>
      <c r="D136" s="3">
        <f t="shared" si="9"/>
        <v>-0.9850659456630354</v>
      </c>
      <c r="E136" s="3">
        <v>9.0783943250115198E-2</v>
      </c>
      <c r="F136">
        <v>128</v>
      </c>
      <c r="G136" s="3">
        <f t="shared" ca="1" si="10"/>
        <v>1.9230054042330646E-2</v>
      </c>
    </row>
    <row r="137" spans="2:7" x14ac:dyDescent="0.35">
      <c r="B137" s="94">
        <v>42552</v>
      </c>
      <c r="C137" s="49">
        <v>23.928867</v>
      </c>
      <c r="D137" s="3">
        <f t="shared" ref="D137:D200" si="11">(C137-C138)/C138</f>
        <v>0.19127630814106894</v>
      </c>
      <c r="E137" s="3">
        <v>9.0062911406624938E-2</v>
      </c>
      <c r="F137">
        <v>129</v>
      </c>
      <c r="G137" s="3">
        <f t="shared" ca="1" si="10"/>
        <v>0.12218550364006642</v>
      </c>
    </row>
    <row r="138" spans="2:7" x14ac:dyDescent="0.35">
      <c r="B138" s="94">
        <v>41122</v>
      </c>
      <c r="C138" s="49">
        <v>20.086748</v>
      </c>
      <c r="D138" s="3">
        <f t="shared" si="11"/>
        <v>46.415558786871621</v>
      </c>
      <c r="E138" s="3">
        <v>8.920049609212502E-2</v>
      </c>
      <c r="F138">
        <v>130</v>
      </c>
      <c r="G138" s="3">
        <f t="shared" ref="G138:G201" ca="1" si="12">_xlfn.NORM.INV(RAND(),$L$10,$L$11)</f>
        <v>-2.6067176696378674E-2</v>
      </c>
    </row>
    <row r="139" spans="2:7" x14ac:dyDescent="0.35">
      <c r="B139" s="94">
        <v>38108</v>
      </c>
      <c r="C139" s="49">
        <v>0.42363200000000001</v>
      </c>
      <c r="D139" s="3">
        <f t="shared" si="11"/>
        <v>0.33421518421234964</v>
      </c>
      <c r="E139" s="3">
        <v>8.8440687546568711E-2</v>
      </c>
      <c r="F139">
        <v>131</v>
      </c>
      <c r="G139" s="3">
        <f t="shared" ca="1" si="12"/>
        <v>-0.15657117889018873</v>
      </c>
    </row>
    <row r="140" spans="2:7" x14ac:dyDescent="0.35">
      <c r="B140" s="94">
        <v>33025</v>
      </c>
      <c r="C140" s="49">
        <v>0.31751400000000002</v>
      </c>
      <c r="D140" s="3">
        <f t="shared" si="11"/>
        <v>-0.94691266004500274</v>
      </c>
      <c r="E140" s="3">
        <v>8.7857306823905176E-2</v>
      </c>
      <c r="F140">
        <v>132</v>
      </c>
      <c r="G140" s="3">
        <f t="shared" ca="1" si="12"/>
        <v>0.3055101289187902</v>
      </c>
    </row>
    <row r="141" spans="2:7" x14ac:dyDescent="0.35">
      <c r="B141" s="94">
        <v>39417</v>
      </c>
      <c r="C141" s="49">
        <v>5.9809739999999998</v>
      </c>
      <c r="D141" s="3">
        <f t="shared" si="11"/>
        <v>18.852010435544582</v>
      </c>
      <c r="E141" s="3">
        <v>8.7037732059755471E-2</v>
      </c>
      <c r="F141">
        <v>133</v>
      </c>
      <c r="G141" s="3">
        <f t="shared" ca="1" si="12"/>
        <v>0.14303049952326435</v>
      </c>
    </row>
    <row r="142" spans="2:7" x14ac:dyDescent="0.35">
      <c r="B142" s="94">
        <v>32387</v>
      </c>
      <c r="C142" s="49">
        <v>0.30127799999999999</v>
      </c>
      <c r="D142" s="3">
        <f t="shared" si="11"/>
        <v>-3.1428626540729282E-2</v>
      </c>
      <c r="E142" s="3">
        <v>8.6685061948817727E-2</v>
      </c>
      <c r="F142">
        <v>134</v>
      </c>
      <c r="G142" s="3">
        <f t="shared" ca="1" si="12"/>
        <v>-0.10615825303509216</v>
      </c>
    </row>
    <row r="143" spans="2:7" x14ac:dyDescent="0.35">
      <c r="B143" s="94">
        <v>34820</v>
      </c>
      <c r="C143" s="49">
        <v>0.311054</v>
      </c>
      <c r="D143" s="3">
        <f t="shared" si="11"/>
        <v>8.6602180512326113E-2</v>
      </c>
      <c r="E143" s="3">
        <v>8.6602180512326113E-2</v>
      </c>
      <c r="F143">
        <v>135</v>
      </c>
      <c r="G143" s="3">
        <f t="shared" ca="1" si="12"/>
        <v>3.9708004233121028E-2</v>
      </c>
    </row>
    <row r="144" spans="2:7" x14ac:dyDescent="0.35">
      <c r="B144" s="94">
        <v>34790</v>
      </c>
      <c r="C144" s="49">
        <v>0.28626299999999999</v>
      </c>
      <c r="D144" s="3">
        <f t="shared" si="11"/>
        <v>-0.94977187377231809</v>
      </c>
      <c r="E144" s="3">
        <v>8.5106382978723291E-2</v>
      </c>
      <c r="F144">
        <v>136</v>
      </c>
      <c r="G144" s="3">
        <f t="shared" ca="1" si="12"/>
        <v>0.10085046535184514</v>
      </c>
    </row>
    <row r="145" spans="2:7" x14ac:dyDescent="0.35">
      <c r="B145" s="94">
        <v>39569</v>
      </c>
      <c r="C145" s="49">
        <v>5.6992570000000002</v>
      </c>
      <c r="D145" s="3">
        <f t="shared" si="11"/>
        <v>-0.78900169761008465</v>
      </c>
      <c r="E145" s="3">
        <v>8.5081891525262465E-2</v>
      </c>
      <c r="F145">
        <v>137</v>
      </c>
      <c r="G145" s="3">
        <f t="shared" ca="1" si="12"/>
        <v>2.2341728868207556E-2</v>
      </c>
    </row>
    <row r="146" spans="2:7" x14ac:dyDescent="0.35">
      <c r="B146" s="94">
        <v>42278</v>
      </c>
      <c r="C146" s="49">
        <v>27.010914</v>
      </c>
      <c r="D146" s="3">
        <f t="shared" si="11"/>
        <v>-0.65109704050269779</v>
      </c>
      <c r="E146" s="3">
        <v>8.3408522923743469E-2</v>
      </c>
      <c r="F146">
        <v>138</v>
      </c>
      <c r="G146" s="3">
        <f t="shared" ca="1" si="12"/>
        <v>-0.16837983222975764</v>
      </c>
    </row>
    <row r="147" spans="2:7" x14ac:dyDescent="0.35">
      <c r="B147" s="94">
        <v>43952</v>
      </c>
      <c r="C147" s="49">
        <v>77.416695000000004</v>
      </c>
      <c r="D147" s="3">
        <f t="shared" si="11"/>
        <v>897.76237853651753</v>
      </c>
      <c r="E147" s="3">
        <v>8.216483919262374E-2</v>
      </c>
      <c r="F147">
        <v>139</v>
      </c>
      <c r="G147" s="3">
        <f t="shared" ca="1" si="12"/>
        <v>2.8627145224212433E-2</v>
      </c>
    </row>
    <row r="148" spans="2:7" x14ac:dyDescent="0.35">
      <c r="B148" s="94">
        <v>31444</v>
      </c>
      <c r="C148" s="49">
        <v>8.6137000000000005E-2</v>
      </c>
      <c r="D148" s="3">
        <f t="shared" si="11"/>
        <v>0.24222321570210995</v>
      </c>
      <c r="E148" s="3">
        <v>8.1077349799816859E-2</v>
      </c>
      <c r="F148">
        <v>140</v>
      </c>
      <c r="G148" s="3">
        <f t="shared" ca="1" si="12"/>
        <v>-0.19168066405338804</v>
      </c>
    </row>
    <row r="149" spans="2:7" x14ac:dyDescent="0.35">
      <c r="B149" s="94">
        <v>31352</v>
      </c>
      <c r="C149" s="49">
        <v>6.9341E-2</v>
      </c>
      <c r="D149" s="3">
        <f t="shared" si="11"/>
        <v>-0.98257089426562039</v>
      </c>
      <c r="E149" s="3">
        <v>8.0549149161628003E-2</v>
      </c>
      <c r="F149">
        <v>141</v>
      </c>
      <c r="G149" s="3">
        <f t="shared" ca="1" si="12"/>
        <v>0.19182253671276991</v>
      </c>
    </row>
    <row r="150" spans="2:7" x14ac:dyDescent="0.35">
      <c r="B150" s="94">
        <v>39264</v>
      </c>
      <c r="C150" s="49">
        <v>3.9784600000000001</v>
      </c>
      <c r="D150" s="3">
        <f t="shared" si="11"/>
        <v>-2.9821137553164141E-2</v>
      </c>
      <c r="E150" s="3">
        <v>7.964573912175088E-2</v>
      </c>
      <c r="F150">
        <v>142</v>
      </c>
      <c r="G150" s="3">
        <f t="shared" ca="1" si="12"/>
        <v>7.8193061269853259E-2</v>
      </c>
    </row>
    <row r="151" spans="2:7" x14ac:dyDescent="0.35">
      <c r="B151" s="94">
        <v>39934</v>
      </c>
      <c r="C151" s="49">
        <v>4.1007490000000004</v>
      </c>
      <c r="D151" s="3">
        <f t="shared" si="11"/>
        <v>17.936468208706415</v>
      </c>
      <c r="E151" s="3">
        <v>7.9313755525866794E-2</v>
      </c>
      <c r="F151">
        <v>143</v>
      </c>
      <c r="G151" s="3">
        <f t="shared" ca="1" si="12"/>
        <v>1.2484259483495583E-2</v>
      </c>
    </row>
    <row r="152" spans="2:7" x14ac:dyDescent="0.35">
      <c r="B152" s="94">
        <v>35947</v>
      </c>
      <c r="C152" s="49">
        <v>0.216553</v>
      </c>
      <c r="D152" s="3">
        <f t="shared" si="11"/>
        <v>-0.99600776299135296</v>
      </c>
      <c r="E152" s="3">
        <v>7.7463877721609675E-2</v>
      </c>
      <c r="F152">
        <v>144</v>
      </c>
      <c r="G152" s="3">
        <f t="shared" ca="1" si="12"/>
        <v>-0.17379477335370469</v>
      </c>
    </row>
    <row r="153" spans="2:7" x14ac:dyDescent="0.35">
      <c r="B153" s="94">
        <v>43709</v>
      </c>
      <c r="C153" s="49">
        <v>54.243523000000003</v>
      </c>
      <c r="D153" s="3">
        <f t="shared" si="11"/>
        <v>2.6096302059578194</v>
      </c>
      <c r="E153" s="3">
        <v>7.7038366245268441E-2</v>
      </c>
      <c r="F153">
        <v>145</v>
      </c>
      <c r="G153" s="3">
        <f t="shared" ca="1" si="12"/>
        <v>-8.993957105431688E-2</v>
      </c>
    </row>
    <row r="154" spans="2:7" x14ac:dyDescent="0.35">
      <c r="B154" s="94">
        <v>41487</v>
      </c>
      <c r="C154" s="49">
        <v>15.027445999999999</v>
      </c>
      <c r="D154" s="3">
        <f t="shared" si="11"/>
        <v>-0.70764332337828773</v>
      </c>
      <c r="E154" s="3">
        <v>7.6658272845495257E-2</v>
      </c>
      <c r="F154">
        <v>146</v>
      </c>
      <c r="G154" s="3">
        <f t="shared" ca="1" si="12"/>
        <v>-0.1685351277562839</v>
      </c>
    </row>
    <row r="155" spans="2:7" x14ac:dyDescent="0.35">
      <c r="B155" s="94">
        <v>43647</v>
      </c>
      <c r="C155" s="49">
        <v>51.401069999999997</v>
      </c>
      <c r="D155" s="3">
        <f t="shared" si="11"/>
        <v>-0.6016400556009005</v>
      </c>
      <c r="E155" s="3">
        <v>7.6394346660032392E-2</v>
      </c>
      <c r="F155">
        <v>147</v>
      </c>
      <c r="G155" s="3">
        <f t="shared" ca="1" si="12"/>
        <v>-9.8234644690380374E-2</v>
      </c>
    </row>
    <row r="156" spans="2:7" x14ac:dyDescent="0.35">
      <c r="B156" s="94">
        <v>44287</v>
      </c>
      <c r="C156" s="49">
        <v>129.031723</v>
      </c>
      <c r="D156" s="3">
        <f t="shared" si="11"/>
        <v>-0.26310879846853857</v>
      </c>
      <c r="E156" s="3">
        <v>7.6217779664337959E-2</v>
      </c>
      <c r="F156">
        <v>148</v>
      </c>
      <c r="G156" s="3">
        <f t="shared" ca="1" si="12"/>
        <v>-3.098348922607571E-3</v>
      </c>
    </row>
    <row r="157" spans="2:7" x14ac:dyDescent="0.35">
      <c r="B157" s="94">
        <v>44531</v>
      </c>
      <c r="C157" s="49">
        <v>175.102814</v>
      </c>
      <c r="D157" s="3">
        <f t="shared" si="11"/>
        <v>1.7053121898635757</v>
      </c>
      <c r="E157" s="3">
        <v>7.5796358204620454E-2</v>
      </c>
      <c r="F157">
        <v>149</v>
      </c>
      <c r="G157" s="3">
        <f t="shared" ca="1" si="12"/>
        <v>0.16391171205416152</v>
      </c>
    </row>
    <row r="158" spans="2:7" x14ac:dyDescent="0.35">
      <c r="B158" s="94">
        <v>43770</v>
      </c>
      <c r="C158" s="49">
        <v>64.725548000000003</v>
      </c>
      <c r="D158" s="3">
        <f t="shared" si="11"/>
        <v>36.221779545417952</v>
      </c>
      <c r="E158" s="3">
        <v>7.43287983293031E-2</v>
      </c>
      <c r="F158">
        <v>150</v>
      </c>
      <c r="G158" s="3">
        <f t="shared" ca="1" si="12"/>
        <v>-0.32016455334806976</v>
      </c>
    </row>
    <row r="159" spans="2:7" x14ac:dyDescent="0.35">
      <c r="B159" s="94">
        <v>38626</v>
      </c>
      <c r="C159" s="49">
        <v>1.7389159999999999</v>
      </c>
      <c r="D159" s="3">
        <f t="shared" si="11"/>
        <v>5.4801264039709929</v>
      </c>
      <c r="E159" s="3">
        <v>7.4240458628315742E-2</v>
      </c>
      <c r="F159">
        <v>151</v>
      </c>
      <c r="G159" s="3">
        <f t="shared" ca="1" si="12"/>
        <v>-8.1074461835095923E-2</v>
      </c>
    </row>
    <row r="160" spans="2:7" x14ac:dyDescent="0.35">
      <c r="B160" s="94">
        <v>34547</v>
      </c>
      <c r="C160" s="49">
        <v>0.26834599999999997</v>
      </c>
      <c r="D160" s="3">
        <f t="shared" si="11"/>
        <v>-0.91095012834190892</v>
      </c>
      <c r="E160" s="3">
        <v>7.4213292661934896E-2</v>
      </c>
      <c r="F160">
        <v>152</v>
      </c>
      <c r="G160" s="3">
        <f t="shared" ca="1" si="12"/>
        <v>5.8121395733463088E-2</v>
      </c>
    </row>
    <row r="161" spans="2:7" x14ac:dyDescent="0.35">
      <c r="B161" s="94">
        <v>39173</v>
      </c>
      <c r="C161" s="49">
        <v>3.0134349999999999</v>
      </c>
      <c r="D161" s="3">
        <f t="shared" si="11"/>
        <v>-0.8484625925599989</v>
      </c>
      <c r="E161" s="3">
        <v>7.4157880910089902E-2</v>
      </c>
      <c r="F161">
        <v>153</v>
      </c>
      <c r="G161" s="3">
        <f t="shared" ca="1" si="12"/>
        <v>4.3085328026203962E-2</v>
      </c>
    </row>
    <row r="162" spans="2:7" x14ac:dyDescent="0.35">
      <c r="B162" s="94">
        <v>41760</v>
      </c>
      <c r="C162" s="49">
        <v>19.885750000000002</v>
      </c>
      <c r="D162" s="3">
        <f t="shared" si="11"/>
        <v>69.737585372794541</v>
      </c>
      <c r="E162" s="3">
        <v>7.2718219932116857E-2</v>
      </c>
      <c r="F162">
        <v>154</v>
      </c>
      <c r="G162" s="3">
        <f t="shared" ca="1" si="12"/>
        <v>0.36267376857050976</v>
      </c>
    </row>
    <row r="163" spans="2:7" x14ac:dyDescent="0.35">
      <c r="B163" s="94">
        <v>32478</v>
      </c>
      <c r="C163" s="49">
        <v>0.28111999999999998</v>
      </c>
      <c r="D163" s="3">
        <f t="shared" si="11"/>
        <v>-0.17645128782019737</v>
      </c>
      <c r="E163" s="3">
        <v>7.2588183673858553E-2</v>
      </c>
      <c r="F163">
        <v>155</v>
      </c>
      <c r="G163" s="3">
        <f t="shared" ca="1" si="12"/>
        <v>7.939898737652884E-2</v>
      </c>
    </row>
    <row r="164" spans="2:7" x14ac:dyDescent="0.35">
      <c r="B164" s="94">
        <v>37834</v>
      </c>
      <c r="C164" s="49">
        <v>0.34135199999999999</v>
      </c>
      <c r="D164" s="3">
        <f t="shared" si="11"/>
        <v>-0.98494005617169511</v>
      </c>
      <c r="E164" s="3">
        <v>7.2580619821337053E-2</v>
      </c>
      <c r="F164">
        <v>156</v>
      </c>
      <c r="G164" s="3">
        <f t="shared" ca="1" si="12"/>
        <v>-3.8512012980441233E-2</v>
      </c>
    </row>
    <row r="165" spans="2:7" x14ac:dyDescent="0.35">
      <c r="B165" s="94">
        <v>41852</v>
      </c>
      <c r="C165" s="49">
        <v>22.666219999999999</v>
      </c>
      <c r="D165" s="3">
        <f t="shared" si="11"/>
        <v>-5.5623234909419506E-2</v>
      </c>
      <c r="E165" s="3">
        <v>7.2175854432987324E-2</v>
      </c>
      <c r="F165">
        <v>157</v>
      </c>
      <c r="G165" s="3">
        <f t="shared" ca="1" si="12"/>
        <v>-0.23766163913971217</v>
      </c>
    </row>
    <row r="166" spans="2:7" x14ac:dyDescent="0.35">
      <c r="B166" s="94">
        <v>41913</v>
      </c>
      <c r="C166" s="49">
        <v>24.001246999999999</v>
      </c>
      <c r="D166" s="3">
        <f t="shared" si="11"/>
        <v>120.70462301416264</v>
      </c>
      <c r="E166" s="3">
        <v>7.1960449930234552E-2</v>
      </c>
      <c r="F166">
        <v>158</v>
      </c>
      <c r="G166" s="3">
        <f t="shared" ca="1" si="12"/>
        <v>0.26474712303092224</v>
      </c>
    </row>
    <row r="167" spans="2:7" x14ac:dyDescent="0.35">
      <c r="B167" s="94">
        <v>35186</v>
      </c>
      <c r="C167" s="49">
        <v>0.197209</v>
      </c>
      <c r="D167" s="3">
        <f t="shared" si="11"/>
        <v>-0.99244391201743243</v>
      </c>
      <c r="E167" s="3">
        <v>7.1793868444937195E-2</v>
      </c>
      <c r="F167">
        <v>159</v>
      </c>
      <c r="G167" s="3">
        <f t="shared" ca="1" si="12"/>
        <v>2.9628534002368971E-2</v>
      </c>
    </row>
    <row r="168" spans="2:7" x14ac:dyDescent="0.35">
      <c r="B168" s="94">
        <v>42614</v>
      </c>
      <c r="C168" s="49">
        <v>26.099352</v>
      </c>
      <c r="D168" s="3">
        <f t="shared" si="11"/>
        <v>249.41114501180127</v>
      </c>
      <c r="E168" s="3">
        <v>7.1276372523812428E-2</v>
      </c>
      <c r="F168">
        <v>160</v>
      </c>
      <c r="G168" s="3">
        <f t="shared" ca="1" si="12"/>
        <v>8.7498632482231997E-2</v>
      </c>
    </row>
    <row r="169" spans="2:7" x14ac:dyDescent="0.35">
      <c r="B169" s="94">
        <v>31503</v>
      </c>
      <c r="C169" s="49">
        <v>0.104226</v>
      </c>
      <c r="D169" s="3">
        <f t="shared" si="11"/>
        <v>-0.97963904460222528</v>
      </c>
      <c r="E169" s="3">
        <v>7.0796732932655204E-2</v>
      </c>
      <c r="F169">
        <v>161</v>
      </c>
      <c r="G169" s="3">
        <f t="shared" ca="1" si="12"/>
        <v>6.6997042979851748E-2</v>
      </c>
    </row>
    <row r="170" spans="2:7" x14ac:dyDescent="0.35">
      <c r="B170" s="94">
        <v>39661</v>
      </c>
      <c r="C170" s="49">
        <v>5.1189150000000003</v>
      </c>
      <c r="D170" s="3">
        <f t="shared" si="11"/>
        <v>8.830682455426075</v>
      </c>
      <c r="E170" s="3">
        <v>6.6562168647135531E-2</v>
      </c>
      <c r="F170">
        <v>162</v>
      </c>
      <c r="G170" s="3">
        <f t="shared" ca="1" si="12"/>
        <v>0.119355194814905</v>
      </c>
    </row>
    <row r="171" spans="2:7" x14ac:dyDescent="0.35">
      <c r="B171" s="94">
        <v>38200</v>
      </c>
      <c r="C171" s="49">
        <v>0.52070799999999995</v>
      </c>
      <c r="D171" s="3">
        <f t="shared" si="11"/>
        <v>-0.91572187707981034</v>
      </c>
      <c r="E171" s="3">
        <v>6.6480422898971547E-2</v>
      </c>
      <c r="F171">
        <v>163</v>
      </c>
      <c r="G171" s="3">
        <f t="shared" ca="1" si="12"/>
        <v>-4.3352224512989694E-2</v>
      </c>
    </row>
    <row r="172" spans="2:7" x14ac:dyDescent="0.35">
      <c r="B172" s="94">
        <v>40210</v>
      </c>
      <c r="C172" s="49">
        <v>6.1784480000000004</v>
      </c>
      <c r="D172" s="3">
        <f t="shared" si="11"/>
        <v>-0.72891140240223773</v>
      </c>
      <c r="E172" s="3">
        <v>6.539642271409464E-2</v>
      </c>
      <c r="F172">
        <v>164</v>
      </c>
      <c r="G172" s="3">
        <f t="shared" ca="1" si="12"/>
        <v>-1.7269071157705845E-2</v>
      </c>
    </row>
    <row r="173" spans="2:7" x14ac:dyDescent="0.35">
      <c r="B173" s="94">
        <v>42491</v>
      </c>
      <c r="C173" s="49">
        <v>22.791250000000002</v>
      </c>
      <c r="D173" s="3">
        <f t="shared" si="11"/>
        <v>-0.84107510566845012</v>
      </c>
      <c r="E173" s="3">
        <v>6.5287163512283974E-2</v>
      </c>
      <c r="F173">
        <v>165</v>
      </c>
      <c r="G173" s="3">
        <f t="shared" ca="1" si="12"/>
        <v>7.0315594361010092E-2</v>
      </c>
    </row>
    <row r="174" spans="2:7" x14ac:dyDescent="0.35">
      <c r="B174" s="94">
        <v>44378</v>
      </c>
      <c r="C174" s="49">
        <v>143.40893600000001</v>
      </c>
      <c r="D174" s="3">
        <f t="shared" si="11"/>
        <v>2.414695715519187</v>
      </c>
      <c r="E174" s="3">
        <v>6.4982718538826617E-2</v>
      </c>
      <c r="F174">
        <v>166</v>
      </c>
      <c r="G174" s="3">
        <f t="shared" ca="1" si="12"/>
        <v>0.21509388242500263</v>
      </c>
    </row>
    <row r="175" spans="2:7" x14ac:dyDescent="0.35">
      <c r="B175" s="94">
        <v>43132</v>
      </c>
      <c r="C175" s="49">
        <v>41.997574</v>
      </c>
      <c r="D175" s="3">
        <f t="shared" si="11"/>
        <v>1.4326335323612818</v>
      </c>
      <c r="E175" s="3">
        <v>6.384761498691216E-2</v>
      </c>
      <c r="F175">
        <v>167</v>
      </c>
      <c r="G175" s="3">
        <f t="shared" ca="1" si="12"/>
        <v>-0.11671839957165536</v>
      </c>
    </row>
    <row r="176" spans="2:7" x14ac:dyDescent="0.35">
      <c r="B176" s="94">
        <v>41579</v>
      </c>
      <c r="C176" s="49">
        <v>17.264241999999999</v>
      </c>
      <c r="D176" s="3">
        <f t="shared" si="11"/>
        <v>-0.51507357385766372</v>
      </c>
      <c r="E176" s="3">
        <v>6.3841159600187561E-2</v>
      </c>
      <c r="F176">
        <v>168</v>
      </c>
      <c r="G176" s="3">
        <f t="shared" ca="1" si="12"/>
        <v>-0.21101345573796745</v>
      </c>
    </row>
    <row r="177" spans="2:7" x14ac:dyDescent="0.35">
      <c r="B177" s="94">
        <v>42856</v>
      </c>
      <c r="C177" s="49">
        <v>35.601776000000001</v>
      </c>
      <c r="D177" s="3">
        <f t="shared" si="11"/>
        <v>122.72209788848885</v>
      </c>
      <c r="E177" s="3">
        <v>6.3417693396009861E-2</v>
      </c>
      <c r="F177">
        <v>169</v>
      </c>
      <c r="G177" s="3">
        <f t="shared" ca="1" si="12"/>
        <v>-0.21174501908687032</v>
      </c>
    </row>
    <row r="178" spans="2:7" x14ac:dyDescent="0.35">
      <c r="B178" s="94">
        <v>37773</v>
      </c>
      <c r="C178" s="49">
        <v>0.28775600000000001</v>
      </c>
      <c r="D178" s="3">
        <f t="shared" si="11"/>
        <v>-0.97645633454986025</v>
      </c>
      <c r="E178" s="3">
        <v>6.1838094746086668E-2</v>
      </c>
      <c r="F178">
        <v>170</v>
      </c>
      <c r="G178" s="3">
        <f t="shared" ca="1" si="12"/>
        <v>-5.9975382378076016E-2</v>
      </c>
    </row>
    <row r="179" spans="2:7" x14ac:dyDescent="0.35">
      <c r="B179" s="94">
        <v>40817</v>
      </c>
      <c r="C179" s="49">
        <v>12.222225999999999</v>
      </c>
      <c r="D179" s="3">
        <f t="shared" si="11"/>
        <v>-0.5326073393363614</v>
      </c>
      <c r="E179" s="3">
        <v>6.1523079405703826E-2</v>
      </c>
      <c r="F179">
        <v>171</v>
      </c>
      <c r="G179" s="3">
        <f t="shared" ca="1" si="12"/>
        <v>-0.18007554150036659</v>
      </c>
    </row>
    <row r="180" spans="2:7" x14ac:dyDescent="0.35">
      <c r="B180" s="94">
        <v>42005</v>
      </c>
      <c r="C180" s="49">
        <v>26.149802999999999</v>
      </c>
      <c r="D180" s="3">
        <f t="shared" si="11"/>
        <v>1.877395931562575</v>
      </c>
      <c r="E180" s="3">
        <v>6.142403669867768E-2</v>
      </c>
      <c r="F180">
        <v>172</v>
      </c>
      <c r="G180" s="3">
        <f t="shared" ca="1" si="12"/>
        <v>0.10379098112566659</v>
      </c>
    </row>
    <row r="181" spans="2:7" x14ac:dyDescent="0.35">
      <c r="B181" s="94">
        <v>40452</v>
      </c>
      <c r="C181" s="49">
        <v>9.0880100000000006</v>
      </c>
      <c r="D181" s="3">
        <f t="shared" si="11"/>
        <v>0.50557715660271407</v>
      </c>
      <c r="E181" s="3">
        <v>6.0721822273266383E-2</v>
      </c>
      <c r="F181">
        <v>173</v>
      </c>
      <c r="G181" s="3">
        <f t="shared" ca="1" si="12"/>
        <v>1.9837270193254777E-2</v>
      </c>
    </row>
    <row r="182" spans="2:7" x14ac:dyDescent="0.35">
      <c r="B182" s="94">
        <v>40118</v>
      </c>
      <c r="C182" s="49">
        <v>6.0362299999999998</v>
      </c>
      <c r="D182" s="3">
        <f t="shared" si="11"/>
        <v>26.582845914823611</v>
      </c>
      <c r="E182" s="3">
        <v>6.0530698435460523E-2</v>
      </c>
      <c r="F182">
        <v>174</v>
      </c>
      <c r="G182" s="3">
        <f t="shared" ca="1" si="12"/>
        <v>-0.1743496845886203</v>
      </c>
    </row>
    <row r="183" spans="2:7" x14ac:dyDescent="0.35">
      <c r="B183" s="94">
        <v>33147</v>
      </c>
      <c r="C183" s="49">
        <v>0.21884000000000001</v>
      </c>
      <c r="D183" s="3">
        <f t="shared" si="11"/>
        <v>-0.39401155819665545</v>
      </c>
      <c r="E183" s="3">
        <v>6.0348378031349147E-2</v>
      </c>
      <c r="F183">
        <v>175</v>
      </c>
      <c r="G183" s="3">
        <f t="shared" ca="1" si="12"/>
        <v>-2.7329271419835537E-2</v>
      </c>
    </row>
    <row r="184" spans="2:7" x14ac:dyDescent="0.35">
      <c r="B184" s="94">
        <v>38018</v>
      </c>
      <c r="C184" s="49">
        <v>0.36112899999999998</v>
      </c>
      <c r="D184" s="3">
        <f t="shared" si="11"/>
        <v>-0.83363469555198577</v>
      </c>
      <c r="E184" s="3">
        <v>6.0282386515441988E-2</v>
      </c>
      <c r="F184">
        <v>176</v>
      </c>
      <c r="G184" s="3">
        <f t="shared" ca="1" si="12"/>
        <v>-5.6751755441860945E-2</v>
      </c>
    </row>
    <row r="185" spans="2:7" x14ac:dyDescent="0.35">
      <c r="B185" s="94">
        <v>38687</v>
      </c>
      <c r="C185" s="49">
        <v>2.1706989999999999</v>
      </c>
      <c r="D185" s="3">
        <f t="shared" si="11"/>
        <v>-0.82249387269533036</v>
      </c>
      <c r="E185" s="3">
        <v>6.00115147570058E-2</v>
      </c>
      <c r="F185">
        <v>177</v>
      </c>
      <c r="G185" s="3">
        <f t="shared" ca="1" si="12"/>
        <v>-8.7643666766401312E-2</v>
      </c>
    </row>
    <row r="186" spans="2:7" x14ac:dyDescent="0.35">
      <c r="B186" s="94">
        <v>40878</v>
      </c>
      <c r="C186" s="49">
        <v>12.228868</v>
      </c>
      <c r="D186" s="3">
        <f t="shared" si="11"/>
        <v>-0.92906825692219841</v>
      </c>
      <c r="E186" s="3">
        <v>5.9654633259702321E-2</v>
      </c>
      <c r="F186">
        <v>178</v>
      </c>
      <c r="G186" s="3">
        <f t="shared" ca="1" si="12"/>
        <v>-4.8236470113162351E-2</v>
      </c>
    </row>
    <row r="187" spans="2:7" x14ac:dyDescent="0.35">
      <c r="B187" s="94">
        <v>44621</v>
      </c>
      <c r="C187" s="49">
        <v>172.40332000000001</v>
      </c>
      <c r="D187" s="3">
        <f t="shared" si="11"/>
        <v>0.16880946648556625</v>
      </c>
      <c r="E187" s="3">
        <v>5.8820816298893804E-2</v>
      </c>
      <c r="F187">
        <v>179</v>
      </c>
      <c r="G187" s="3">
        <f t="shared" ca="1" si="12"/>
        <v>8.8664869087754616E-2</v>
      </c>
    </row>
    <row r="188" spans="2:7" x14ac:dyDescent="0.35">
      <c r="B188" s="94">
        <v>44470</v>
      </c>
      <c r="C188" s="49">
        <v>147.50335699999999</v>
      </c>
      <c r="D188" s="3">
        <f t="shared" si="11"/>
        <v>2.0582830165653156</v>
      </c>
      <c r="E188" s="3">
        <v>5.8657096260680733E-2</v>
      </c>
      <c r="F188">
        <v>180</v>
      </c>
      <c r="G188" s="3">
        <f t="shared" ca="1" si="12"/>
        <v>5.2398872793721442E-2</v>
      </c>
    </row>
    <row r="189" spans="2:7" x14ac:dyDescent="0.35">
      <c r="B189" s="94">
        <v>43556</v>
      </c>
      <c r="C189" s="49">
        <v>48.230773999999997</v>
      </c>
      <c r="D189" s="3">
        <f t="shared" si="11"/>
        <v>16.722435037459768</v>
      </c>
      <c r="E189" s="3">
        <v>5.6435809686022485E-2</v>
      </c>
      <c r="F189">
        <v>181</v>
      </c>
      <c r="G189" s="3">
        <f t="shared" ca="1" si="12"/>
        <v>-0.19753772884800863</v>
      </c>
    </row>
    <row r="190" spans="2:7" x14ac:dyDescent="0.35">
      <c r="B190" s="94">
        <v>39814</v>
      </c>
      <c r="C190" s="49">
        <v>2.7214529999999999</v>
      </c>
      <c r="D190" s="3">
        <f t="shared" si="11"/>
        <v>6.9902436016758811</v>
      </c>
      <c r="E190" s="3">
        <v>5.6005131307377456E-2</v>
      </c>
      <c r="F190">
        <v>182</v>
      </c>
      <c r="G190" s="3">
        <f t="shared" ca="1" si="12"/>
        <v>0.14119256113498191</v>
      </c>
    </row>
    <row r="191" spans="2:7" x14ac:dyDescent="0.35">
      <c r="B191" s="94">
        <v>37987</v>
      </c>
      <c r="C191" s="49">
        <v>0.34059699999999998</v>
      </c>
      <c r="D191" s="3">
        <f t="shared" si="11"/>
        <v>-0.99144933364215748</v>
      </c>
      <c r="E191" s="3">
        <v>5.5685907429850141E-2</v>
      </c>
      <c r="F191">
        <v>183</v>
      </c>
      <c r="G191" s="3">
        <f t="shared" ca="1" si="12"/>
        <v>-1.6068331704379921E-2</v>
      </c>
    </row>
    <row r="192" spans="2:7" x14ac:dyDescent="0.35">
      <c r="B192" s="94">
        <v>43466</v>
      </c>
      <c r="C192" s="49">
        <v>39.832802000000001</v>
      </c>
      <c r="D192" s="3">
        <f t="shared" si="11"/>
        <v>5.2601273185437298</v>
      </c>
      <c r="E192" s="3">
        <v>5.5153941243264941E-2</v>
      </c>
      <c r="F192">
        <v>184</v>
      </c>
      <c r="G192" s="3">
        <f t="shared" ca="1" si="12"/>
        <v>6.0344659357094918E-2</v>
      </c>
    </row>
    <row r="193" spans="2:7" x14ac:dyDescent="0.35">
      <c r="B193" s="94">
        <v>40148</v>
      </c>
      <c r="C193" s="49">
        <v>6.3629379999999998</v>
      </c>
      <c r="D193" s="3">
        <f t="shared" si="11"/>
        <v>-0.91537023118144056</v>
      </c>
      <c r="E193" s="3">
        <v>5.4124511491444163E-2</v>
      </c>
      <c r="F193">
        <v>185</v>
      </c>
      <c r="G193" s="3">
        <f t="shared" ca="1" si="12"/>
        <v>-0.15376970006819976</v>
      </c>
    </row>
    <row r="194" spans="2:7" x14ac:dyDescent="0.35">
      <c r="B194" s="94">
        <v>43831</v>
      </c>
      <c r="C194" s="49">
        <v>75.185576999999995</v>
      </c>
      <c r="D194" s="3">
        <f t="shared" si="11"/>
        <v>1.7974855528849079</v>
      </c>
      <c r="E194" s="3">
        <v>5.400958233643495E-2</v>
      </c>
      <c r="F194">
        <v>186</v>
      </c>
      <c r="G194" s="3">
        <f t="shared" ca="1" si="12"/>
        <v>5.4329706422781218E-4</v>
      </c>
    </row>
    <row r="195" spans="2:7" x14ac:dyDescent="0.35">
      <c r="B195" s="94">
        <v>42705</v>
      </c>
      <c r="C195" s="49">
        <v>26.876127</v>
      </c>
      <c r="D195" s="3">
        <f t="shared" si="11"/>
        <v>9.9779624857394591</v>
      </c>
      <c r="E195" s="3">
        <v>5.3335374464717471E-2</v>
      </c>
      <c r="F195">
        <v>187</v>
      </c>
      <c r="G195" s="3">
        <f t="shared" ca="1" si="12"/>
        <v>0.16956319639211898</v>
      </c>
    </row>
    <row r="196" spans="2:7" x14ac:dyDescent="0.35">
      <c r="B196" s="94">
        <v>38991</v>
      </c>
      <c r="C196" s="49">
        <v>2.4481890000000002</v>
      </c>
      <c r="D196" s="3">
        <f t="shared" si="11"/>
        <v>-0.92687818287196921</v>
      </c>
      <c r="E196" s="3">
        <v>5.3260402402177734E-2</v>
      </c>
      <c r="F196">
        <v>188</v>
      </c>
      <c r="G196" s="3">
        <f t="shared" ca="1" si="12"/>
        <v>-0.23709654318308748</v>
      </c>
    </row>
    <row r="197" spans="2:7" x14ac:dyDescent="0.35">
      <c r="B197" s="94">
        <v>42795</v>
      </c>
      <c r="C197" s="49">
        <v>33.480964999999998</v>
      </c>
      <c r="D197" s="3">
        <f t="shared" si="11"/>
        <v>2.267812554382671</v>
      </c>
      <c r="E197" s="3">
        <v>5.3236553288977556E-2</v>
      </c>
      <c r="F197">
        <v>189</v>
      </c>
      <c r="G197" s="3">
        <f t="shared" ca="1" si="12"/>
        <v>0.13737405807686165</v>
      </c>
    </row>
    <row r="198" spans="2:7" x14ac:dyDescent="0.35">
      <c r="B198" s="94">
        <v>40544</v>
      </c>
      <c r="C198" s="49">
        <v>10.245680999999999</v>
      </c>
      <c r="D198" s="3">
        <f t="shared" si="11"/>
        <v>-0.37653704286073136</v>
      </c>
      <c r="E198" s="3">
        <v>5.1959440700742161E-2</v>
      </c>
      <c r="F198">
        <v>190</v>
      </c>
      <c r="G198" s="3">
        <f t="shared" ca="1" si="12"/>
        <v>9.8128402706877199E-2</v>
      </c>
    </row>
    <row r="199" spans="2:7" x14ac:dyDescent="0.35">
      <c r="B199" s="94">
        <v>41671</v>
      </c>
      <c r="C199" s="49">
        <v>16.433503999999999</v>
      </c>
      <c r="D199" s="3">
        <f t="shared" si="11"/>
        <v>205.25154059515293</v>
      </c>
      <c r="E199" s="3">
        <v>5.1218814787616564E-2</v>
      </c>
      <c r="F199">
        <v>191</v>
      </c>
      <c r="G199" s="3">
        <f t="shared" ca="1" si="12"/>
        <v>-2.8325062929199465E-2</v>
      </c>
    </row>
    <row r="200" spans="2:7" x14ac:dyDescent="0.35">
      <c r="B200" s="94">
        <v>31413</v>
      </c>
      <c r="C200" s="49">
        <v>7.9676999999999998E-2</v>
      </c>
      <c r="D200" s="3">
        <f t="shared" si="11"/>
        <v>-0.77208965726348555</v>
      </c>
      <c r="E200" s="3">
        <v>5.1133890054220983E-2</v>
      </c>
      <c r="F200">
        <v>192</v>
      </c>
      <c r="G200" s="3">
        <f t="shared" ca="1" si="12"/>
        <v>0.10585282876363489</v>
      </c>
    </row>
    <row r="201" spans="2:7" x14ac:dyDescent="0.35">
      <c r="B201" s="94">
        <v>36312</v>
      </c>
      <c r="C201" s="49">
        <v>0.34959800000000002</v>
      </c>
      <c r="D201" s="3">
        <f t="shared" ref="D201:D264" si="13">(C201-C202)/C202</f>
        <v>-0.91639147762167794</v>
      </c>
      <c r="E201" s="3">
        <v>5.1062192210790884E-2</v>
      </c>
      <c r="F201">
        <v>193</v>
      </c>
      <c r="G201" s="3">
        <f t="shared" ca="1" si="12"/>
        <v>0.12773525217277282</v>
      </c>
    </row>
    <row r="202" spans="2:7" x14ac:dyDescent="0.35">
      <c r="B202" s="94">
        <v>39295</v>
      </c>
      <c r="C202" s="49">
        <v>4.181368</v>
      </c>
      <c r="D202" s="3">
        <f t="shared" si="13"/>
        <v>4.3876734798009016</v>
      </c>
      <c r="E202" s="3">
        <v>5.1001643852143758E-2</v>
      </c>
      <c r="F202">
        <v>194</v>
      </c>
      <c r="G202" s="3">
        <f t="shared" ref="G202:G265" ca="1" si="14">_xlfn.NORM.INV(RAND(),$L$10,$L$11)</f>
        <v>-0.22112230502220065</v>
      </c>
    </row>
    <row r="203" spans="2:7" x14ac:dyDescent="0.35">
      <c r="B203" s="94">
        <v>36495</v>
      </c>
      <c r="C203" s="49">
        <v>0.77609899999999998</v>
      </c>
      <c r="D203" s="3">
        <f t="shared" si="13"/>
        <v>-0.6596064482314733</v>
      </c>
      <c r="E203" s="3">
        <v>5.0446111950277928E-2</v>
      </c>
      <c r="F203">
        <v>195</v>
      </c>
      <c r="G203" s="3">
        <f t="shared" ca="1" si="14"/>
        <v>0.19070758056463916</v>
      </c>
    </row>
    <row r="204" spans="2:7" x14ac:dyDescent="0.35">
      <c r="B204" s="94">
        <v>38718</v>
      </c>
      <c r="C204" s="49">
        <v>2.2800050000000001</v>
      </c>
      <c r="D204" s="3">
        <f t="shared" si="13"/>
        <v>6.8330229905591668</v>
      </c>
      <c r="E204" s="3">
        <v>5.035520816105786E-2</v>
      </c>
      <c r="F204">
        <v>196</v>
      </c>
      <c r="G204" s="3">
        <f t="shared" ca="1" si="14"/>
        <v>0.10248227109374927</v>
      </c>
    </row>
    <row r="205" spans="2:7" x14ac:dyDescent="0.35">
      <c r="B205" s="94">
        <v>34669</v>
      </c>
      <c r="C205" s="49">
        <v>0.291076</v>
      </c>
      <c r="D205" s="3">
        <f t="shared" si="13"/>
        <v>4.3637754067849706</v>
      </c>
      <c r="E205" s="3">
        <v>5.0129698644567955E-2</v>
      </c>
      <c r="F205">
        <v>197</v>
      </c>
      <c r="G205" s="3">
        <f t="shared" ca="1" si="14"/>
        <v>-2.6947602812322891E-2</v>
      </c>
    </row>
    <row r="206" spans="2:7" x14ac:dyDescent="0.35">
      <c r="B206" s="94">
        <v>31291</v>
      </c>
      <c r="C206" s="49">
        <v>5.4267000000000003E-2</v>
      </c>
      <c r="D206" s="3">
        <f t="shared" si="13"/>
        <v>-0.81085047054722892</v>
      </c>
      <c r="E206" s="3">
        <v>5.0017414186757557E-2</v>
      </c>
      <c r="F206">
        <v>198</v>
      </c>
      <c r="G206" s="3">
        <f t="shared" ca="1" si="14"/>
        <v>-2.9283286029269981E-2</v>
      </c>
    </row>
    <row r="207" spans="2:7" x14ac:dyDescent="0.35">
      <c r="B207" s="94">
        <v>35004</v>
      </c>
      <c r="C207" s="49">
        <v>0.28689999999999999</v>
      </c>
      <c r="D207" s="3">
        <f t="shared" si="13"/>
        <v>0.57540414689861186</v>
      </c>
      <c r="E207" s="3">
        <v>4.9911988904380845E-2</v>
      </c>
      <c r="F207">
        <v>199</v>
      </c>
      <c r="G207" s="3">
        <f t="shared" ca="1" si="14"/>
        <v>-4.015352197026955E-2</v>
      </c>
    </row>
    <row r="208" spans="2:7" x14ac:dyDescent="0.35">
      <c r="B208" s="94">
        <v>35370</v>
      </c>
      <c r="C208" s="49">
        <v>0.182112</v>
      </c>
      <c r="D208" s="3">
        <f t="shared" si="13"/>
        <v>-0.95765462542159474</v>
      </c>
      <c r="E208" s="3">
        <v>4.8911415735514337E-2</v>
      </c>
      <c r="F208">
        <v>200</v>
      </c>
      <c r="G208" s="3">
        <f t="shared" ca="1" si="14"/>
        <v>9.7367983454679664E-3</v>
      </c>
    </row>
    <row r="209" spans="2:7" x14ac:dyDescent="0.35">
      <c r="B209" s="94">
        <v>39965</v>
      </c>
      <c r="C209" s="49">
        <v>4.3006349999999998</v>
      </c>
      <c r="D209" s="3">
        <f t="shared" si="13"/>
        <v>-0.84727516443994189</v>
      </c>
      <c r="E209" s="3">
        <v>4.8743778270749882E-2</v>
      </c>
      <c r="F209">
        <v>201</v>
      </c>
      <c r="G209" s="3">
        <f t="shared" ca="1" si="14"/>
        <v>6.5663698135780893E-2</v>
      </c>
    </row>
    <row r="210" spans="2:7" x14ac:dyDescent="0.35">
      <c r="B210" s="94">
        <v>42736</v>
      </c>
      <c r="C210" s="49">
        <v>28.159369000000002</v>
      </c>
      <c r="D210" s="3">
        <f t="shared" si="13"/>
        <v>71.122695851059206</v>
      </c>
      <c r="E210" s="3">
        <v>4.7746537289394465E-2</v>
      </c>
      <c r="F210">
        <v>202</v>
      </c>
      <c r="G210" s="3">
        <f t="shared" ca="1" si="14"/>
        <v>8.420184744881587E-2</v>
      </c>
    </row>
    <row r="211" spans="2:7" x14ac:dyDescent="0.35">
      <c r="B211" s="94">
        <v>32021</v>
      </c>
      <c r="C211" s="49">
        <v>0.39043699999999998</v>
      </c>
      <c r="D211" s="3">
        <f t="shared" si="13"/>
        <v>1.3510245617838152</v>
      </c>
      <c r="E211" s="3">
        <v>4.7646774712890326E-2</v>
      </c>
      <c r="F211">
        <v>203</v>
      </c>
      <c r="G211" s="3">
        <f t="shared" ca="1" si="14"/>
        <v>-0.22519646456678685</v>
      </c>
    </row>
    <row r="212" spans="2:7" x14ac:dyDescent="0.35">
      <c r="B212" s="94">
        <v>35247</v>
      </c>
      <c r="C212" s="49">
        <v>0.166071</v>
      </c>
      <c r="D212" s="3">
        <f t="shared" si="13"/>
        <v>-0.43101233078997225</v>
      </c>
      <c r="E212" s="3">
        <v>4.7621150376603881E-2</v>
      </c>
      <c r="F212">
        <v>204</v>
      </c>
      <c r="G212" s="3">
        <f t="shared" ca="1" si="14"/>
        <v>-9.7337238430848266E-2</v>
      </c>
    </row>
    <row r="213" spans="2:7" x14ac:dyDescent="0.35">
      <c r="B213" s="94">
        <v>32994</v>
      </c>
      <c r="C213" s="49">
        <v>0.29187099999999999</v>
      </c>
      <c r="D213" s="3">
        <f t="shared" si="13"/>
        <v>-0.98417334463523387</v>
      </c>
      <c r="E213" s="3">
        <v>4.7619560379606796E-2</v>
      </c>
      <c r="F213">
        <v>205</v>
      </c>
      <c r="G213" s="3">
        <f t="shared" ca="1" si="14"/>
        <v>-0.17944619992634389</v>
      </c>
    </row>
    <row r="214" spans="2:7" x14ac:dyDescent="0.35">
      <c r="B214" s="94">
        <v>41091</v>
      </c>
      <c r="C214" s="49">
        <v>18.441735999999999</v>
      </c>
      <c r="D214" s="3">
        <f t="shared" si="13"/>
        <v>80.380226995922541</v>
      </c>
      <c r="E214" s="3">
        <v>4.5821852965164563E-2</v>
      </c>
      <c r="F214">
        <v>206</v>
      </c>
      <c r="G214" s="3">
        <f t="shared" ca="1" si="14"/>
        <v>-0.15241535317287749</v>
      </c>
    </row>
    <row r="215" spans="2:7" x14ac:dyDescent="0.35">
      <c r="B215" s="94">
        <v>37653</v>
      </c>
      <c r="C215" s="49">
        <v>0.22661200000000001</v>
      </c>
      <c r="D215" s="3">
        <f t="shared" si="13"/>
        <v>-0.3073273912139774</v>
      </c>
      <c r="E215" s="3">
        <v>4.5263123907398173E-2</v>
      </c>
      <c r="F215">
        <v>207</v>
      </c>
      <c r="G215" s="3">
        <f t="shared" ca="1" si="14"/>
        <v>-5.6130435749388481E-3</v>
      </c>
    </row>
    <row r="216" spans="2:7" x14ac:dyDescent="0.35">
      <c r="B216" s="94">
        <v>32782</v>
      </c>
      <c r="C216" s="49">
        <v>0.327156</v>
      </c>
      <c r="D216" s="3">
        <f t="shared" si="13"/>
        <v>-0.99814189915347296</v>
      </c>
      <c r="E216" s="3">
        <v>4.4946404159906063E-2</v>
      </c>
      <c r="F216">
        <v>208</v>
      </c>
      <c r="G216" s="3">
        <f t="shared" ca="1" si="14"/>
        <v>-0.22994501604341144</v>
      </c>
    </row>
    <row r="217" spans="2:7" x14ac:dyDescent="0.35">
      <c r="B217" s="94">
        <v>45047</v>
      </c>
      <c r="C217" s="49">
        <v>176.070099</v>
      </c>
      <c r="D217" s="3">
        <f t="shared" si="13"/>
        <v>360.91479272183125</v>
      </c>
      <c r="E217" s="3">
        <v>4.4613385314908431E-2</v>
      </c>
      <c r="F217">
        <v>209</v>
      </c>
      <c r="G217" s="3">
        <f t="shared" ca="1" si="14"/>
        <v>8.1791778789551406E-2</v>
      </c>
    </row>
    <row r="218" spans="2:7" x14ac:dyDescent="0.35">
      <c r="B218" s="94">
        <v>33635</v>
      </c>
      <c r="C218" s="49">
        <v>0.48649599999999998</v>
      </c>
      <c r="D218" s="3">
        <f t="shared" si="13"/>
        <v>2.6308652202792766</v>
      </c>
      <c r="E218" s="3">
        <v>4.2470579159845388E-2</v>
      </c>
      <c r="F218">
        <v>210</v>
      </c>
      <c r="G218" s="3">
        <f t="shared" ca="1" si="14"/>
        <v>0.12749784303701556</v>
      </c>
    </row>
    <row r="219" spans="2:7" x14ac:dyDescent="0.35">
      <c r="B219" s="94">
        <v>35735</v>
      </c>
      <c r="C219" s="49">
        <v>0.133989</v>
      </c>
      <c r="D219" s="3">
        <f t="shared" si="13"/>
        <v>-0.69155102717336248</v>
      </c>
      <c r="E219" s="3">
        <v>4.2196882486543547E-2</v>
      </c>
      <c r="F219">
        <v>211</v>
      </c>
      <c r="G219" s="3">
        <f t="shared" ca="1" si="14"/>
        <v>-1.2881601533557156E-2</v>
      </c>
    </row>
    <row r="220" spans="2:7" x14ac:dyDescent="0.35">
      <c r="B220" s="94">
        <v>33939</v>
      </c>
      <c r="C220" s="49">
        <v>0.434396</v>
      </c>
      <c r="D220" s="3">
        <f t="shared" si="13"/>
        <v>-0.98511981519352798</v>
      </c>
      <c r="E220" s="3">
        <v>4.1339946446250907E-2</v>
      </c>
      <c r="F220">
        <v>212</v>
      </c>
      <c r="G220" s="3">
        <f t="shared" ca="1" si="14"/>
        <v>0.1434360385903298</v>
      </c>
    </row>
    <row r="221" spans="2:7" x14ac:dyDescent="0.35">
      <c r="B221" s="94">
        <v>42125</v>
      </c>
      <c r="C221" s="49">
        <v>29.192917000000001</v>
      </c>
      <c r="D221" s="3">
        <f t="shared" si="13"/>
        <v>1.737241593738672</v>
      </c>
      <c r="E221" s="3">
        <v>4.0990865798911577E-2</v>
      </c>
      <c r="F221">
        <v>213</v>
      </c>
      <c r="G221" s="3">
        <f t="shared" ca="1" si="14"/>
        <v>9.0859504144187447E-2</v>
      </c>
    </row>
    <row r="222" spans="2:7" x14ac:dyDescent="0.35">
      <c r="B222" s="94">
        <v>40575</v>
      </c>
      <c r="C222" s="49">
        <v>10.665086000000001</v>
      </c>
      <c r="D222" s="3">
        <f t="shared" si="13"/>
        <v>-0.92855583261392904</v>
      </c>
      <c r="E222" s="3">
        <v>4.0934809506561955E-2</v>
      </c>
      <c r="F222">
        <v>214</v>
      </c>
      <c r="G222" s="3">
        <f t="shared" ca="1" si="14"/>
        <v>-2.6789258509037739E-2</v>
      </c>
    </row>
    <row r="223" spans="2:7" x14ac:dyDescent="0.35">
      <c r="B223" s="94">
        <v>44409</v>
      </c>
      <c r="C223" s="49">
        <v>149.27860999999999</v>
      </c>
      <c r="D223" s="3">
        <f t="shared" si="13"/>
        <v>402.14299448805929</v>
      </c>
      <c r="E223" s="3">
        <v>4.0929625194346148E-2</v>
      </c>
      <c r="F223">
        <v>215</v>
      </c>
      <c r="G223" s="3">
        <f t="shared" ca="1" si="14"/>
        <v>8.4438664260460261E-3</v>
      </c>
    </row>
    <row r="224" spans="2:7" x14ac:dyDescent="0.35">
      <c r="B224" s="94">
        <v>33512</v>
      </c>
      <c r="C224" s="49">
        <v>0.37028699999999998</v>
      </c>
      <c r="D224" s="3">
        <f t="shared" si="13"/>
        <v>-0.99106421308644765</v>
      </c>
      <c r="E224" s="3">
        <v>4.0403813355736201E-2</v>
      </c>
      <c r="F224">
        <v>216</v>
      </c>
      <c r="G224" s="3">
        <f t="shared" ca="1" si="14"/>
        <v>0.13851320066942036</v>
      </c>
    </row>
    <row r="225" spans="2:7" x14ac:dyDescent="0.35">
      <c r="B225" s="94">
        <v>43497</v>
      </c>
      <c r="C225" s="49">
        <v>41.438656000000002</v>
      </c>
      <c r="D225" s="3">
        <f t="shared" si="13"/>
        <v>3.2546498753133597</v>
      </c>
      <c r="E225" s="3">
        <v>4.031486411626279E-2</v>
      </c>
      <c r="F225">
        <v>217</v>
      </c>
      <c r="G225" s="3">
        <f t="shared" ca="1" si="14"/>
        <v>8.495279607467765E-3</v>
      </c>
    </row>
    <row r="226" spans="2:7" x14ac:dyDescent="0.35">
      <c r="B226" s="94">
        <v>40513</v>
      </c>
      <c r="C226" s="49">
        <v>9.7396159999999998</v>
      </c>
      <c r="D226" s="3">
        <f t="shared" si="13"/>
        <v>55.097315977421957</v>
      </c>
      <c r="E226" s="3">
        <v>3.6670194748409088E-2</v>
      </c>
      <c r="F226">
        <v>218</v>
      </c>
      <c r="G226" s="3">
        <f t="shared" ca="1" si="14"/>
        <v>0.19443986012332032</v>
      </c>
    </row>
    <row r="227" spans="2:7" x14ac:dyDescent="0.35">
      <c r="B227" s="94">
        <v>35339</v>
      </c>
      <c r="C227" s="49">
        <v>0.17362</v>
      </c>
      <c r="D227" s="3">
        <f t="shared" si="13"/>
        <v>-0.4169814805486996</v>
      </c>
      <c r="E227" s="3">
        <v>3.661776734910769E-2</v>
      </c>
      <c r="F227">
        <v>219</v>
      </c>
      <c r="G227" s="3">
        <f t="shared" ca="1" si="14"/>
        <v>2.9643379927639445E-2</v>
      </c>
    </row>
    <row r="228" spans="2:7" x14ac:dyDescent="0.35">
      <c r="B228" s="94">
        <v>32174</v>
      </c>
      <c r="C228" s="49">
        <v>0.29779499999999998</v>
      </c>
      <c r="D228" s="3">
        <f t="shared" si="13"/>
        <v>3.8016736806462537</v>
      </c>
      <c r="E228" s="3">
        <v>3.6143865667850654E-2</v>
      </c>
      <c r="F228">
        <v>220</v>
      </c>
      <c r="G228" s="3">
        <f t="shared" ca="1" si="14"/>
        <v>-0.11068064868107647</v>
      </c>
    </row>
    <row r="229" spans="2:7" x14ac:dyDescent="0.35">
      <c r="B229" s="94">
        <v>31199</v>
      </c>
      <c r="C229" s="49">
        <v>6.2018999999999998E-2</v>
      </c>
      <c r="D229" s="3">
        <f t="shared" si="13"/>
        <v>-0.79418792186846665</v>
      </c>
      <c r="E229" s="3">
        <v>3.5980957153595526E-2</v>
      </c>
      <c r="F229">
        <v>221</v>
      </c>
      <c r="G229" s="3">
        <f t="shared" ca="1" si="14"/>
        <v>-4.470042949513401E-2</v>
      </c>
    </row>
    <row r="230" spans="2:7" x14ac:dyDescent="0.35">
      <c r="B230" s="94">
        <v>34700</v>
      </c>
      <c r="C230" s="49">
        <v>0.30133799999999999</v>
      </c>
      <c r="D230" s="3">
        <f t="shared" si="13"/>
        <v>-0.96792603290056867</v>
      </c>
      <c r="E230" s="3">
        <v>3.5255397215847382E-2</v>
      </c>
      <c r="F230">
        <v>222</v>
      </c>
      <c r="G230" s="3">
        <f t="shared" ca="1" si="14"/>
        <v>7.7937824246526871E-2</v>
      </c>
    </row>
    <row r="231" spans="2:7" x14ac:dyDescent="0.35">
      <c r="B231" s="94">
        <v>40483</v>
      </c>
      <c r="C231" s="49">
        <v>9.3950960000000006</v>
      </c>
      <c r="D231" s="3">
        <f t="shared" si="13"/>
        <v>77.751852472757747</v>
      </c>
      <c r="E231" s="3">
        <v>3.3790235706166689E-2</v>
      </c>
      <c r="F231">
        <v>223</v>
      </c>
      <c r="G231" s="3">
        <f t="shared" ca="1" si="14"/>
        <v>2.8260305545628001E-2</v>
      </c>
    </row>
    <row r="232" spans="2:7" x14ac:dyDescent="0.35">
      <c r="B232" s="94">
        <v>31686</v>
      </c>
      <c r="C232" s="49">
        <v>0.1193</v>
      </c>
      <c r="D232" s="3">
        <f t="shared" si="13"/>
        <v>-0.99419463844446676</v>
      </c>
      <c r="E232" s="3">
        <v>3.358053784308293E-2</v>
      </c>
      <c r="F232">
        <v>224</v>
      </c>
      <c r="G232" s="3">
        <f t="shared" ca="1" si="14"/>
        <v>-4.2272439079013742E-2</v>
      </c>
    </row>
    <row r="233" spans="2:7" x14ac:dyDescent="0.35">
      <c r="B233" s="94">
        <v>41791</v>
      </c>
      <c r="C233" s="49">
        <v>20.549969000000001</v>
      </c>
      <c r="D233" s="3">
        <f t="shared" si="13"/>
        <v>-0.40957935525451178</v>
      </c>
      <c r="E233" s="3">
        <v>3.3401757539946904E-2</v>
      </c>
      <c r="F233">
        <v>225</v>
      </c>
      <c r="G233" s="3">
        <f t="shared" ca="1" si="14"/>
        <v>0.15650226965765401</v>
      </c>
    </row>
    <row r="234" spans="2:7" x14ac:dyDescent="0.35">
      <c r="B234" s="94">
        <v>42917</v>
      </c>
      <c r="C234" s="49">
        <v>34.805641000000001</v>
      </c>
      <c r="D234" s="3">
        <f t="shared" si="13"/>
        <v>127.30106421017322</v>
      </c>
      <c r="E234" s="3">
        <v>3.2703811492551853E-2</v>
      </c>
      <c r="F234">
        <v>226</v>
      </c>
      <c r="G234" s="3">
        <f t="shared" ca="1" si="14"/>
        <v>0.22409450251500196</v>
      </c>
    </row>
    <row r="235" spans="2:7" x14ac:dyDescent="0.35">
      <c r="B235" s="94">
        <v>36220</v>
      </c>
      <c r="C235" s="49">
        <v>0.27128099999999999</v>
      </c>
      <c r="D235" s="3">
        <f t="shared" si="13"/>
        <v>-0.37514741380898853</v>
      </c>
      <c r="E235" s="3">
        <v>3.2314899025453883E-2</v>
      </c>
      <c r="F235">
        <v>227</v>
      </c>
      <c r="G235" s="3">
        <f t="shared" ca="1" si="14"/>
        <v>6.1397733241933726E-2</v>
      </c>
    </row>
    <row r="236" spans="2:7" x14ac:dyDescent="0.35">
      <c r="B236" s="94">
        <v>33695</v>
      </c>
      <c r="C236" s="49">
        <v>0.43415199999999998</v>
      </c>
      <c r="D236" s="3">
        <f t="shared" si="13"/>
        <v>6.2028645164446637E-2</v>
      </c>
      <c r="E236" s="3">
        <v>3.2188734061952357E-2</v>
      </c>
      <c r="F236">
        <v>228</v>
      </c>
      <c r="G236" s="3">
        <f t="shared" ca="1" si="14"/>
        <v>0.18542462125309916</v>
      </c>
    </row>
    <row r="237" spans="2:7" x14ac:dyDescent="0.35">
      <c r="B237" s="94">
        <v>33270</v>
      </c>
      <c r="C237" s="49">
        <v>0.40879500000000002</v>
      </c>
      <c r="D237" s="3">
        <f t="shared" si="13"/>
        <v>-0.9195136343169078</v>
      </c>
      <c r="E237" s="3">
        <v>3.1531747493685341E-2</v>
      </c>
      <c r="F237">
        <v>229</v>
      </c>
      <c r="G237" s="3">
        <f t="shared" ca="1" si="14"/>
        <v>0.22807133226616277</v>
      </c>
    </row>
    <row r="238" spans="2:7" x14ac:dyDescent="0.35">
      <c r="B238" s="94">
        <v>40026</v>
      </c>
      <c r="C238" s="49">
        <v>5.079059</v>
      </c>
      <c r="D238" s="3">
        <f t="shared" si="13"/>
        <v>-0.96986624619206829</v>
      </c>
      <c r="E238" s="3">
        <v>2.9500449780460857E-2</v>
      </c>
      <c r="F238">
        <v>230</v>
      </c>
      <c r="G238" s="3">
        <f t="shared" ca="1" si="14"/>
        <v>1.2449511788361142E-2</v>
      </c>
    </row>
    <row r="239" spans="2:7" x14ac:dyDescent="0.35">
      <c r="B239" s="94">
        <v>45017</v>
      </c>
      <c r="C239" s="49">
        <v>168.55049099999999</v>
      </c>
      <c r="D239" s="3">
        <f t="shared" si="13"/>
        <v>6.9729115266252846</v>
      </c>
      <c r="E239" s="3">
        <v>2.8987284043563443E-2</v>
      </c>
      <c r="F239">
        <v>231</v>
      </c>
      <c r="G239" s="3">
        <f t="shared" ca="1" si="14"/>
        <v>-9.6923818560073705E-2</v>
      </c>
    </row>
    <row r="240" spans="2:7" x14ac:dyDescent="0.35">
      <c r="B240" s="94">
        <v>41821</v>
      </c>
      <c r="C240" s="49">
        <v>21.140394000000001</v>
      </c>
      <c r="D240" s="3">
        <f t="shared" si="13"/>
        <v>62.939346463742169</v>
      </c>
      <c r="E240" s="3">
        <v>2.8731186893761237E-2</v>
      </c>
      <c r="F240">
        <v>232</v>
      </c>
      <c r="G240" s="3">
        <f t="shared" ca="1" si="14"/>
        <v>-0.18117088876307205</v>
      </c>
    </row>
    <row r="241" spans="2:7" x14ac:dyDescent="0.35">
      <c r="B241" s="94">
        <v>37226</v>
      </c>
      <c r="C241" s="49">
        <v>0.33063199999999998</v>
      </c>
      <c r="D241" s="3">
        <f t="shared" si="13"/>
        <v>-0.99268896456702227</v>
      </c>
      <c r="E241" s="3">
        <v>2.8167700125009965E-2</v>
      </c>
      <c r="F241">
        <v>233</v>
      </c>
      <c r="G241" s="3">
        <f t="shared" ca="1" si="14"/>
        <v>0.17408571346203217</v>
      </c>
    </row>
    <row r="242" spans="2:7" x14ac:dyDescent="0.35">
      <c r="B242" s="94">
        <v>43282</v>
      </c>
      <c r="C242" s="49">
        <v>45.223689999999998</v>
      </c>
      <c r="D242" s="3">
        <f t="shared" si="13"/>
        <v>160.7963221351651</v>
      </c>
      <c r="E242" s="3">
        <v>2.7983230101657364E-2</v>
      </c>
      <c r="F242">
        <v>234</v>
      </c>
      <c r="G242" s="3">
        <f t="shared" ca="1" si="14"/>
        <v>-5.8675534345088022E-2</v>
      </c>
    </row>
    <row r="243" spans="2:7" x14ac:dyDescent="0.35">
      <c r="B243" s="94">
        <v>31929</v>
      </c>
      <c r="C243" s="49">
        <v>0.27950999999999998</v>
      </c>
      <c r="D243" s="3">
        <f t="shared" si="13"/>
        <v>-0.98342341107070153</v>
      </c>
      <c r="E243" s="3">
        <v>2.6877888564773616E-2</v>
      </c>
      <c r="F243">
        <v>235</v>
      </c>
      <c r="G243" s="3">
        <f t="shared" ca="1" si="14"/>
        <v>6.7270866173445104E-2</v>
      </c>
    </row>
    <row r="244" spans="2:7" x14ac:dyDescent="0.35">
      <c r="B244" s="94">
        <v>41699</v>
      </c>
      <c r="C244" s="49">
        <v>16.861732</v>
      </c>
      <c r="D244" s="3">
        <f t="shared" si="13"/>
        <v>45.018378168896845</v>
      </c>
      <c r="E244" s="3">
        <v>2.6058228360792728E-2</v>
      </c>
      <c r="F244">
        <v>236</v>
      </c>
      <c r="G244" s="3">
        <f t="shared" ca="1" si="14"/>
        <v>7.1898051752023934E-2</v>
      </c>
    </row>
    <row r="245" spans="2:7" x14ac:dyDescent="0.35">
      <c r="B245" s="94">
        <v>37347</v>
      </c>
      <c r="C245" s="49">
        <v>0.36641299999999999</v>
      </c>
      <c r="D245" s="3">
        <f t="shared" si="13"/>
        <v>0.28790104884289858</v>
      </c>
      <c r="E245" s="3">
        <v>2.5347343677855384E-2</v>
      </c>
      <c r="F245">
        <v>237</v>
      </c>
      <c r="G245" s="3">
        <f t="shared" ca="1" si="14"/>
        <v>0.10559560977278365</v>
      </c>
    </row>
    <row r="246" spans="2:7" x14ac:dyDescent="0.35">
      <c r="B246" s="94">
        <v>32234</v>
      </c>
      <c r="C246" s="49">
        <v>0.28450399999999998</v>
      </c>
      <c r="D246" s="3">
        <f t="shared" si="13"/>
        <v>0.23159772125158004</v>
      </c>
      <c r="E246" s="3">
        <v>2.4999549655035661E-2</v>
      </c>
      <c r="F246">
        <v>238</v>
      </c>
      <c r="G246" s="3">
        <f t="shared" ca="1" si="14"/>
        <v>-0.10937992712443628</v>
      </c>
    </row>
    <row r="247" spans="2:7" x14ac:dyDescent="0.35">
      <c r="B247" s="94">
        <v>34274</v>
      </c>
      <c r="C247" s="49">
        <v>0.23100399999999999</v>
      </c>
      <c r="D247" s="3">
        <f t="shared" si="13"/>
        <v>-0.97026055423067836</v>
      </c>
      <c r="E247" s="3">
        <v>2.43898112672058E-2</v>
      </c>
      <c r="F247">
        <v>239</v>
      </c>
      <c r="G247" s="3">
        <f t="shared" ca="1" si="14"/>
        <v>6.8895765994503484E-3</v>
      </c>
    </row>
    <row r="248" spans="2:7" x14ac:dyDescent="0.35">
      <c r="B248" s="94">
        <v>40360</v>
      </c>
      <c r="C248" s="49">
        <v>7.7675960000000002</v>
      </c>
      <c r="D248" s="3">
        <f t="shared" si="13"/>
        <v>23.075789369279455</v>
      </c>
      <c r="E248" s="3">
        <v>2.2740840476520904E-2</v>
      </c>
      <c r="F248">
        <v>240</v>
      </c>
      <c r="G248" s="3">
        <f t="shared" ca="1" si="14"/>
        <v>0.19059333838525272</v>
      </c>
    </row>
    <row r="249" spans="2:7" x14ac:dyDescent="0.35">
      <c r="B249" s="94">
        <v>37956</v>
      </c>
      <c r="C249" s="49">
        <v>0.322631</v>
      </c>
      <c r="D249" s="3">
        <f t="shared" si="13"/>
        <v>-0.99779330470490835</v>
      </c>
      <c r="E249" s="3">
        <v>2.1999708571175086E-2</v>
      </c>
      <c r="F249">
        <v>241</v>
      </c>
      <c r="G249" s="3">
        <f t="shared" ca="1" si="14"/>
        <v>-6.3529202849116895E-2</v>
      </c>
    </row>
    <row r="250" spans="2:7" x14ac:dyDescent="0.35">
      <c r="B250" s="94">
        <v>44958</v>
      </c>
      <c r="C250" s="49">
        <v>146.20550499999999</v>
      </c>
      <c r="D250" s="3">
        <f t="shared" si="13"/>
        <v>512.56759728262011</v>
      </c>
      <c r="E250" s="3">
        <v>2.1623053622821173E-2</v>
      </c>
      <c r="F250">
        <v>242</v>
      </c>
      <c r="G250" s="3">
        <f t="shared" ca="1" si="14"/>
        <v>0.17469455800239786</v>
      </c>
    </row>
    <row r="251" spans="2:7" x14ac:dyDescent="0.35">
      <c r="B251" s="94">
        <v>31959</v>
      </c>
      <c r="C251" s="49">
        <v>0.28468599999999999</v>
      </c>
      <c r="D251" s="3">
        <f t="shared" si="13"/>
        <v>-0.98831475258894108</v>
      </c>
      <c r="E251" s="3">
        <v>1.8518120997459891E-2</v>
      </c>
      <c r="F251">
        <v>243</v>
      </c>
      <c r="G251" s="3">
        <f t="shared" ca="1" si="14"/>
        <v>7.9777627152224279E-2</v>
      </c>
    </row>
    <row r="252" spans="2:7" x14ac:dyDescent="0.35">
      <c r="B252" s="94">
        <v>42583</v>
      </c>
      <c r="C252" s="49">
        <v>24.362856000000001</v>
      </c>
      <c r="D252" s="3">
        <f t="shared" si="13"/>
        <v>3.280412888435754</v>
      </c>
      <c r="E252" s="3">
        <v>1.8136629703362068E-2</v>
      </c>
      <c r="F252">
        <v>244</v>
      </c>
      <c r="G252" s="3">
        <f t="shared" ca="1" si="14"/>
        <v>0.2468151996369034</v>
      </c>
    </row>
    <row r="253" spans="2:7" x14ac:dyDescent="0.35">
      <c r="B253" s="94">
        <v>40087</v>
      </c>
      <c r="C253" s="49">
        <v>5.6917070000000001</v>
      </c>
      <c r="D253" s="3">
        <f t="shared" si="13"/>
        <v>-0.85902571999100108</v>
      </c>
      <c r="E253" s="3">
        <v>1.6994437332978861E-2</v>
      </c>
      <c r="F253">
        <v>245</v>
      </c>
      <c r="G253" s="3">
        <f t="shared" ca="1" si="14"/>
        <v>-0.16209153564027237</v>
      </c>
    </row>
    <row r="254" spans="2:7" x14ac:dyDescent="0.35">
      <c r="B254" s="94">
        <v>43040</v>
      </c>
      <c r="C254" s="49">
        <v>40.374080999999997</v>
      </c>
      <c r="D254" s="3">
        <f t="shared" si="13"/>
        <v>1.9299219291378897</v>
      </c>
      <c r="E254" s="3">
        <v>1.6623372843091556E-2</v>
      </c>
      <c r="F254">
        <v>246</v>
      </c>
      <c r="G254" s="3">
        <f t="shared" ca="1" si="14"/>
        <v>2.9669591904934754E-2</v>
      </c>
    </row>
    <row r="255" spans="2:7" x14ac:dyDescent="0.35">
      <c r="B255" s="94">
        <v>41395</v>
      </c>
      <c r="C255" s="49">
        <v>13.779916999999999</v>
      </c>
      <c r="D255" s="3">
        <f t="shared" si="13"/>
        <v>-0.92823863827361119</v>
      </c>
      <c r="E255" s="3">
        <v>1.569606298945616E-2</v>
      </c>
      <c r="F255">
        <v>247</v>
      </c>
      <c r="G255" s="3">
        <f t="shared" ca="1" si="14"/>
        <v>0.13642523200082224</v>
      </c>
    </row>
    <row r="256" spans="2:7" x14ac:dyDescent="0.35">
      <c r="B256" s="94">
        <v>45261</v>
      </c>
      <c r="C256" s="49">
        <v>192.02418499999999</v>
      </c>
      <c r="D256" s="3">
        <f t="shared" si="13"/>
        <v>9.9605216345718883</v>
      </c>
      <c r="E256" s="3">
        <v>1.4917911066661542E-2</v>
      </c>
      <c r="F256">
        <v>248</v>
      </c>
      <c r="G256" s="3">
        <f t="shared" ca="1" si="14"/>
        <v>-0.15615897576387688</v>
      </c>
    </row>
    <row r="257" spans="2:7" x14ac:dyDescent="0.35">
      <c r="B257" s="94">
        <v>41609</v>
      </c>
      <c r="C257" s="49">
        <v>17.519621000000001</v>
      </c>
      <c r="D257" s="3">
        <f t="shared" si="13"/>
        <v>-0.9103453133144962</v>
      </c>
      <c r="E257" s="3">
        <v>1.4792366789112511E-2</v>
      </c>
      <c r="F257">
        <v>249</v>
      </c>
      <c r="G257" s="3">
        <f t="shared" ca="1" si="14"/>
        <v>2.6438047343175231E-3</v>
      </c>
    </row>
    <row r="258" spans="2:7" x14ac:dyDescent="0.35">
      <c r="B258" s="94">
        <v>45108</v>
      </c>
      <c r="C258" s="49">
        <v>195.412216</v>
      </c>
      <c r="D258" s="3">
        <f t="shared" si="13"/>
        <v>1399.3727596511469</v>
      </c>
      <c r="E258" s="3">
        <v>1.2785424895077073E-2</v>
      </c>
      <c r="F258">
        <v>250</v>
      </c>
      <c r="G258" s="3">
        <f t="shared" ca="1" si="14"/>
        <v>-2.9182157984599173E-2</v>
      </c>
    </row>
    <row r="259" spans="2:7" x14ac:dyDescent="0.35">
      <c r="B259" s="94">
        <v>31747</v>
      </c>
      <c r="C259" s="49">
        <v>0.139543</v>
      </c>
      <c r="D259" s="3">
        <f t="shared" si="13"/>
        <v>-0.51543194871759257</v>
      </c>
      <c r="E259" s="3">
        <v>1.2509160565669489E-2</v>
      </c>
      <c r="F259">
        <v>251</v>
      </c>
      <c r="G259" s="3">
        <f t="shared" ca="1" si="14"/>
        <v>-0.2425452718616527</v>
      </c>
    </row>
    <row r="260" spans="2:7" x14ac:dyDescent="0.35">
      <c r="B260" s="94">
        <v>32264</v>
      </c>
      <c r="C260" s="49">
        <v>0.28797400000000001</v>
      </c>
      <c r="D260" s="3">
        <f t="shared" si="13"/>
        <v>-0.98366913492928276</v>
      </c>
      <c r="E260" s="3">
        <v>1.2196665073250389E-2</v>
      </c>
      <c r="F260">
        <v>252</v>
      </c>
      <c r="G260" s="3">
        <f t="shared" ca="1" si="14"/>
        <v>5.3210587126923642E-2</v>
      </c>
    </row>
    <row r="261" spans="2:7" x14ac:dyDescent="0.35">
      <c r="B261" s="94">
        <v>41061</v>
      </c>
      <c r="C261" s="49">
        <v>17.633725999999999</v>
      </c>
      <c r="D261" s="3">
        <f t="shared" si="13"/>
        <v>5.8120837751753358</v>
      </c>
      <c r="E261" s="3">
        <v>1.0852820718161476E-2</v>
      </c>
      <c r="F261">
        <v>253</v>
      </c>
      <c r="G261" s="3">
        <f t="shared" ca="1" si="14"/>
        <v>0.18202911829081891</v>
      </c>
    </row>
    <row r="262" spans="2:7" x14ac:dyDescent="0.35">
      <c r="B262" s="94">
        <v>39083</v>
      </c>
      <c r="C262" s="49">
        <v>2.5885950000000002</v>
      </c>
      <c r="D262" s="3">
        <f t="shared" si="13"/>
        <v>2.3052532253286619</v>
      </c>
      <c r="E262" s="3">
        <v>1.0490209320137058E-2</v>
      </c>
      <c r="F262">
        <v>254</v>
      </c>
      <c r="G262" s="3">
        <f t="shared" ca="1" si="14"/>
        <v>-0.15166642008582915</v>
      </c>
    </row>
    <row r="263" spans="2:7" x14ac:dyDescent="0.35">
      <c r="B263" s="94">
        <v>36526</v>
      </c>
      <c r="C263" s="49">
        <v>0.78317599999999998</v>
      </c>
      <c r="D263" s="3">
        <f t="shared" si="13"/>
        <v>-0.99590581824110369</v>
      </c>
      <c r="E263" s="3">
        <v>9.1186820238139728E-3</v>
      </c>
      <c r="F263">
        <v>255</v>
      </c>
      <c r="G263" s="3">
        <f t="shared" ca="1" si="14"/>
        <v>1.0296366518911625E-2</v>
      </c>
    </row>
    <row r="264" spans="2:7" x14ac:dyDescent="0.35">
      <c r="B264" s="94">
        <v>45432</v>
      </c>
      <c r="C264" s="49">
        <v>191.28999300000001</v>
      </c>
      <c r="D264" s="3">
        <f t="shared" si="13"/>
        <v>0.59549672554916411</v>
      </c>
      <c r="E264" s="3">
        <v>8.8453149219751472E-3</v>
      </c>
      <c r="F264">
        <v>256</v>
      </c>
      <c r="G264" s="3">
        <f t="shared" ca="1" si="14"/>
        <v>0.21008991180574388</v>
      </c>
    </row>
    <row r="265" spans="2:7" x14ac:dyDescent="0.35">
      <c r="B265" s="94">
        <v>44256</v>
      </c>
      <c r="C265" s="49">
        <v>119.893692</v>
      </c>
      <c r="D265" s="3">
        <f t="shared" ref="D265:D328" si="15">(C265-C266)/C266</f>
        <v>7.8395736461856718</v>
      </c>
      <c r="E265" s="3">
        <v>8.8448117472267312E-3</v>
      </c>
      <c r="F265">
        <v>257</v>
      </c>
      <c r="G265" s="3">
        <f t="shared" ca="1" si="14"/>
        <v>-8.7016662021464325E-2</v>
      </c>
    </row>
    <row r="266" spans="2:7" x14ac:dyDescent="0.35">
      <c r="B266" s="94">
        <v>41334</v>
      </c>
      <c r="C266" s="49">
        <v>13.563288999999999</v>
      </c>
      <c r="D266" s="3">
        <f t="shared" si="15"/>
        <v>-0.32952572234612065</v>
      </c>
      <c r="E266" s="3">
        <v>8.6990350295867939E-3</v>
      </c>
      <c r="F266">
        <v>258</v>
      </c>
      <c r="G266" s="3">
        <f t="shared" ref="G266:G329" ca="1" si="16">_xlfn.NORM.INV(RAND(),$L$10,$L$11)</f>
        <v>0.17279432012711618</v>
      </c>
    </row>
    <row r="267" spans="2:7" x14ac:dyDescent="0.35">
      <c r="B267" s="94">
        <v>41153</v>
      </c>
      <c r="C267" s="49">
        <v>20.229395</v>
      </c>
      <c r="D267" s="3">
        <f t="shared" si="15"/>
        <v>4.4897071019341279</v>
      </c>
      <c r="E267" s="3">
        <v>7.1015477468030263E-3</v>
      </c>
      <c r="F267">
        <v>259</v>
      </c>
      <c r="G267" s="3">
        <f t="shared" ca="1" si="16"/>
        <v>6.1710469703948619E-2</v>
      </c>
    </row>
    <row r="268" spans="2:7" x14ac:dyDescent="0.35">
      <c r="B268" s="94">
        <v>39234</v>
      </c>
      <c r="C268" s="49">
        <v>3.684968</v>
      </c>
      <c r="D268" s="3">
        <f t="shared" si="15"/>
        <v>10.852125360230547</v>
      </c>
      <c r="E268" s="3">
        <v>7.0147315100515606E-3</v>
      </c>
      <c r="F268">
        <v>260</v>
      </c>
      <c r="G268" s="3">
        <f t="shared" ca="1" si="16"/>
        <v>0.19520449655831584</v>
      </c>
    </row>
    <row r="269" spans="2:7" x14ac:dyDescent="0.35">
      <c r="B269" s="94">
        <v>36161</v>
      </c>
      <c r="C269" s="49">
        <v>0.31091200000000002</v>
      </c>
      <c r="D269" s="3">
        <f t="shared" si="15"/>
        <v>-0.98891318219185598</v>
      </c>
      <c r="E269" s="3">
        <v>6.1095578336957668E-3</v>
      </c>
      <c r="F269">
        <v>261</v>
      </c>
      <c r="G269" s="3">
        <f t="shared" ca="1" si="16"/>
        <v>7.5730167956478689E-2</v>
      </c>
    </row>
    <row r="270" spans="2:7" x14ac:dyDescent="0.35">
      <c r="B270" s="94">
        <v>42095</v>
      </c>
      <c r="C270" s="49">
        <v>28.043393999999999</v>
      </c>
      <c r="D270" s="3">
        <f t="shared" si="15"/>
        <v>129.62577264364069</v>
      </c>
      <c r="E270" s="3">
        <v>5.7859766432684003E-3</v>
      </c>
      <c r="F270">
        <v>262</v>
      </c>
      <c r="G270" s="3">
        <f t="shared" ca="1" si="16"/>
        <v>0.17899585118772987</v>
      </c>
    </row>
    <row r="271" spans="2:7" x14ac:dyDescent="0.35">
      <c r="B271" s="94">
        <v>37712</v>
      </c>
      <c r="C271" s="49">
        <v>0.21468499999999999</v>
      </c>
      <c r="D271" s="3">
        <f t="shared" si="15"/>
        <v>-0.97969321847991375</v>
      </c>
      <c r="E271" s="3">
        <v>5.6586892264739851E-3</v>
      </c>
      <c r="F271">
        <v>263</v>
      </c>
      <c r="G271" s="3">
        <f t="shared" ca="1" si="16"/>
        <v>0.10236842253209194</v>
      </c>
    </row>
    <row r="272" spans="2:7" x14ac:dyDescent="0.35">
      <c r="B272" s="94">
        <v>40634</v>
      </c>
      <c r="C272" s="49">
        <v>10.572084</v>
      </c>
      <c r="D272" s="3">
        <f t="shared" si="15"/>
        <v>-0.59667747589402165</v>
      </c>
      <c r="E272" s="3">
        <v>4.6482191202840877E-3</v>
      </c>
      <c r="F272">
        <v>264</v>
      </c>
      <c r="G272" s="3">
        <f t="shared" ca="1" si="16"/>
        <v>-0.10112380773726512</v>
      </c>
    </row>
    <row r="273" spans="2:7" x14ac:dyDescent="0.35">
      <c r="B273" s="94">
        <v>42644</v>
      </c>
      <c r="C273" s="49">
        <v>26.212481</v>
      </c>
      <c r="D273" s="3">
        <f t="shared" si="15"/>
        <v>82.723476766618546</v>
      </c>
      <c r="E273" s="3">
        <v>4.3345520609094322E-3</v>
      </c>
      <c r="F273">
        <v>265</v>
      </c>
      <c r="G273" s="3">
        <f t="shared" ca="1" si="16"/>
        <v>-4.3611074563875259E-2</v>
      </c>
    </row>
    <row r="274" spans="2:7" x14ac:dyDescent="0.35">
      <c r="B274" s="94">
        <v>32752</v>
      </c>
      <c r="C274" s="49">
        <v>0.31308399999999997</v>
      </c>
      <c r="D274" s="3">
        <f t="shared" si="15"/>
        <v>0.44412105221887549</v>
      </c>
      <c r="E274" s="3">
        <v>2.3756011039180285E-3</v>
      </c>
      <c r="F274">
        <v>266</v>
      </c>
      <c r="G274" s="3">
        <f t="shared" ca="1" si="16"/>
        <v>2.6197944743797993E-2</v>
      </c>
    </row>
    <row r="275" spans="2:7" x14ac:dyDescent="0.35">
      <c r="B275" s="94">
        <v>37622</v>
      </c>
      <c r="C275" s="49">
        <v>0.21679899999999999</v>
      </c>
      <c r="D275" s="3">
        <f t="shared" si="15"/>
        <v>-0.98402008584231304</v>
      </c>
      <c r="E275" s="3">
        <v>2.0985000808892381E-3</v>
      </c>
      <c r="F275">
        <v>267</v>
      </c>
      <c r="G275" s="3">
        <f t="shared" ca="1" si="16"/>
        <v>-7.9474943646304863E-2</v>
      </c>
    </row>
    <row r="276" spans="2:7" x14ac:dyDescent="0.35">
      <c r="B276" s="94">
        <v>41365</v>
      </c>
      <c r="C276" s="49">
        <v>13.566969</v>
      </c>
      <c r="D276" s="3">
        <f t="shared" si="15"/>
        <v>55.576420251961018</v>
      </c>
      <c r="E276" s="3">
        <v>2.7132062142161948E-4</v>
      </c>
      <c r="F276">
        <v>268</v>
      </c>
      <c r="G276" s="3">
        <f t="shared" ca="1" si="16"/>
        <v>0.15575273468120665</v>
      </c>
    </row>
    <row r="277" spans="2:7" x14ac:dyDescent="0.35">
      <c r="B277" s="94">
        <v>32905</v>
      </c>
      <c r="C277" s="49">
        <v>0.23979900000000001</v>
      </c>
      <c r="D277" s="3">
        <f t="shared" si="15"/>
        <v>-0.99283725341514795</v>
      </c>
      <c r="E277" s="3">
        <v>0</v>
      </c>
      <c r="F277">
        <v>269</v>
      </c>
      <c r="G277" s="3">
        <f t="shared" ca="1" si="16"/>
        <v>-6.6596610181519023E-2</v>
      </c>
    </row>
    <row r="278" spans="2:7" x14ac:dyDescent="0.35">
      <c r="B278" s="94">
        <v>42826</v>
      </c>
      <c r="C278" s="49">
        <v>33.478637999999997</v>
      </c>
      <c r="D278" s="3">
        <f t="shared" si="15"/>
        <v>15.341310052364605</v>
      </c>
      <c r="E278" s="3">
        <v>-6.9502178327329519E-5</v>
      </c>
      <c r="F278">
        <v>270</v>
      </c>
      <c r="G278" s="3">
        <f t="shared" ca="1" si="16"/>
        <v>-9.5407348793982522E-2</v>
      </c>
    </row>
    <row r="279" spans="2:7" x14ac:dyDescent="0.35">
      <c r="B279" s="94">
        <v>38930</v>
      </c>
      <c r="C279" s="49">
        <v>2.0487120000000001</v>
      </c>
      <c r="D279" s="3">
        <f t="shared" si="15"/>
        <v>-0.98795564372994604</v>
      </c>
      <c r="E279" s="3">
        <v>-1.6188815584926104E-3</v>
      </c>
      <c r="F279">
        <v>271</v>
      </c>
      <c r="G279" s="3">
        <f t="shared" ca="1" si="16"/>
        <v>0.14738440876523973</v>
      </c>
    </row>
    <row r="280" spans="2:7" x14ac:dyDescent="0.35">
      <c r="B280" s="94">
        <v>45200</v>
      </c>
      <c r="C280" s="49">
        <v>170.09726000000001</v>
      </c>
      <c r="D280" s="3">
        <f t="shared" si="15"/>
        <v>1038.0030052775605</v>
      </c>
      <c r="E280" s="3">
        <v>-2.5699161961106288E-3</v>
      </c>
      <c r="F280">
        <v>272</v>
      </c>
      <c r="G280" s="3">
        <f t="shared" ca="1" si="16"/>
        <v>0.22304183641000855</v>
      </c>
    </row>
    <row r="281" spans="2:7" x14ac:dyDescent="0.35">
      <c r="B281" s="94">
        <v>35674</v>
      </c>
      <c r="C281" s="49">
        <v>0.163712</v>
      </c>
      <c r="D281" s="3">
        <f t="shared" si="15"/>
        <v>-0.39854662483375825</v>
      </c>
      <c r="E281" s="3">
        <v>-2.874823368903183E-3</v>
      </c>
      <c r="F281">
        <v>273</v>
      </c>
      <c r="G281" s="3">
        <f t="shared" ca="1" si="16"/>
        <v>4.1214370041868197E-2</v>
      </c>
    </row>
    <row r="282" spans="2:7" x14ac:dyDescent="0.35">
      <c r="B282" s="94">
        <v>31898</v>
      </c>
      <c r="C282" s="49">
        <v>0.27219399999999999</v>
      </c>
      <c r="D282" s="3">
        <f t="shared" si="15"/>
        <v>-0.37076464645764129</v>
      </c>
      <c r="E282" s="3">
        <v>-3.1568615961562073E-3</v>
      </c>
      <c r="F282">
        <v>274</v>
      </c>
      <c r="G282" s="3">
        <f t="shared" ca="1" si="16"/>
        <v>9.0181114482119074E-2</v>
      </c>
    </row>
    <row r="283" spans="2:7" x14ac:dyDescent="0.35">
      <c r="B283" s="94">
        <v>33970</v>
      </c>
      <c r="C283" s="49">
        <v>0.43257899999999999</v>
      </c>
      <c r="D283" s="3">
        <f t="shared" si="15"/>
        <v>1.0838242874140731</v>
      </c>
      <c r="E283" s="3">
        <v>-4.1828193629775898E-3</v>
      </c>
      <c r="F283">
        <v>275</v>
      </c>
      <c r="G283" s="3">
        <f t="shared" ca="1" si="16"/>
        <v>-0.18615978272188166</v>
      </c>
    </row>
    <row r="284" spans="2:7" x14ac:dyDescent="0.35">
      <c r="B284" s="94">
        <v>35096</v>
      </c>
      <c r="C284" s="49">
        <v>0.207589</v>
      </c>
      <c r="D284" s="3">
        <f t="shared" si="15"/>
        <v>4.5633595617626246E-3</v>
      </c>
      <c r="E284" s="3">
        <v>-4.5268614559805902E-3</v>
      </c>
      <c r="F284">
        <v>276</v>
      </c>
      <c r="G284" s="3">
        <f t="shared" ca="1" si="16"/>
        <v>0.18770431846251592</v>
      </c>
    </row>
    <row r="285" spans="2:7" x14ac:dyDescent="0.35">
      <c r="B285" s="94">
        <v>35886</v>
      </c>
      <c r="C285" s="49">
        <v>0.206646</v>
      </c>
      <c r="D285" s="3">
        <f t="shared" si="15"/>
        <v>-0.99616161986529173</v>
      </c>
      <c r="E285" s="3">
        <v>-4.5426299081357847E-3</v>
      </c>
      <c r="F285">
        <v>277</v>
      </c>
      <c r="G285" s="3">
        <f t="shared" ca="1" si="16"/>
        <v>0.23655208302509359</v>
      </c>
    </row>
    <row r="286" spans="2:7" x14ac:dyDescent="0.35">
      <c r="B286" s="94">
        <v>43344</v>
      </c>
      <c r="C286" s="49">
        <v>53.836773000000001</v>
      </c>
      <c r="D286" s="3">
        <f t="shared" si="15"/>
        <v>143.17526217689843</v>
      </c>
      <c r="E286" s="3">
        <v>-4.8250393634328408E-3</v>
      </c>
      <c r="F286">
        <v>278</v>
      </c>
      <c r="G286" s="3">
        <f t="shared" ca="1" si="16"/>
        <v>-0.11131407111066777</v>
      </c>
    </row>
    <row r="287" spans="2:7" x14ac:dyDescent="0.35">
      <c r="B287" s="94">
        <v>34060</v>
      </c>
      <c r="C287" s="49">
        <v>0.37341200000000002</v>
      </c>
      <c r="D287" s="3">
        <f t="shared" si="15"/>
        <v>-0.99711270274550567</v>
      </c>
      <c r="E287" s="3">
        <v>-4.8529846788527703E-3</v>
      </c>
      <c r="F287">
        <v>279</v>
      </c>
      <c r="G287" s="3">
        <f t="shared" ca="1" si="16"/>
        <v>-9.5253746458552696E-2</v>
      </c>
    </row>
    <row r="288" spans="2:7" x14ac:dyDescent="0.35">
      <c r="B288" s="94">
        <v>44197</v>
      </c>
      <c r="C288" s="49">
        <v>129.32925399999999</v>
      </c>
      <c r="D288" s="3">
        <f t="shared" si="15"/>
        <v>1.9397933754091645</v>
      </c>
      <c r="E288" s="3">
        <v>-5.5013708442571783E-3</v>
      </c>
      <c r="F288">
        <v>280</v>
      </c>
      <c r="G288" s="3">
        <f t="shared" ca="1" si="16"/>
        <v>3.6964979118827589E-2</v>
      </c>
    </row>
    <row r="289" spans="2:7" x14ac:dyDescent="0.35">
      <c r="B289" s="94">
        <v>43252</v>
      </c>
      <c r="C289" s="49">
        <v>43.992634000000002</v>
      </c>
      <c r="D289" s="3">
        <f t="shared" si="15"/>
        <v>89.102865546063583</v>
      </c>
      <c r="E289" s="3">
        <v>-5.5983562681877165E-3</v>
      </c>
      <c r="F289">
        <v>281</v>
      </c>
      <c r="G289" s="3">
        <f t="shared" ca="1" si="16"/>
        <v>4.286762934073636E-2</v>
      </c>
    </row>
    <row r="290" spans="2:7" x14ac:dyDescent="0.35">
      <c r="B290" s="94">
        <v>38169</v>
      </c>
      <c r="C290" s="49">
        <v>0.48824899999999999</v>
      </c>
      <c r="D290" s="3">
        <f t="shared" si="15"/>
        <v>0.13166251008242089</v>
      </c>
      <c r="E290" s="3">
        <v>-6.1453219016911215E-3</v>
      </c>
      <c r="F290">
        <v>282</v>
      </c>
      <c r="G290" s="3">
        <f t="shared" ca="1" si="16"/>
        <v>5.7345919652002468E-3</v>
      </c>
    </row>
    <row r="291" spans="2:7" x14ac:dyDescent="0.35">
      <c r="B291" s="94">
        <v>33725</v>
      </c>
      <c r="C291" s="49">
        <v>0.43144399999999999</v>
      </c>
      <c r="D291" s="3">
        <f t="shared" si="15"/>
        <v>-0.95892041599453381</v>
      </c>
      <c r="E291" s="3">
        <v>-6.2374467928282915E-3</v>
      </c>
      <c r="F291">
        <v>283</v>
      </c>
      <c r="G291" s="3">
        <f t="shared" ca="1" si="16"/>
        <v>0.16794127780279053</v>
      </c>
    </row>
    <row r="292" spans="2:7" x14ac:dyDescent="0.35">
      <c r="B292" s="94">
        <v>40664</v>
      </c>
      <c r="C292" s="49">
        <v>10.502637999999999</v>
      </c>
      <c r="D292" s="3">
        <f t="shared" si="15"/>
        <v>-0.52149065332377054</v>
      </c>
      <c r="E292" s="3">
        <v>-6.5688089500614078E-3</v>
      </c>
      <c r="F292">
        <v>284</v>
      </c>
      <c r="G292" s="3">
        <f t="shared" ca="1" si="16"/>
        <v>-0.11930390912808536</v>
      </c>
    </row>
    <row r="293" spans="2:7" x14ac:dyDescent="0.35">
      <c r="B293" s="94">
        <v>42401</v>
      </c>
      <c r="C293" s="49">
        <v>21.948658000000002</v>
      </c>
      <c r="D293" s="3">
        <f t="shared" si="15"/>
        <v>-0.87096560997383121</v>
      </c>
      <c r="E293" s="3">
        <v>-6.6774814951254943E-3</v>
      </c>
      <c r="F293">
        <v>285</v>
      </c>
      <c r="G293" s="3">
        <f t="shared" ca="1" si="16"/>
        <v>-0.17638908192724151</v>
      </c>
    </row>
    <row r="294" spans="2:7" x14ac:dyDescent="0.35">
      <c r="B294" s="94">
        <v>45383</v>
      </c>
      <c r="C294" s="49">
        <v>170.099289</v>
      </c>
      <c r="D294" s="3">
        <f t="shared" si="15"/>
        <v>923.45768183522739</v>
      </c>
      <c r="E294" s="3">
        <v>-6.7062905115598511E-3</v>
      </c>
      <c r="F294">
        <v>286</v>
      </c>
      <c r="G294" s="3">
        <f t="shared" ca="1" si="16"/>
        <v>-9.19650030775266E-3</v>
      </c>
    </row>
    <row r="295" spans="2:7" x14ac:dyDescent="0.35">
      <c r="B295" s="94">
        <v>35156</v>
      </c>
      <c r="C295" s="49">
        <v>0.183999</v>
      </c>
      <c r="D295" s="3">
        <f t="shared" si="15"/>
        <v>-0.93176862615382106</v>
      </c>
      <c r="E295" s="3">
        <v>-7.636922579079366E-3</v>
      </c>
      <c r="F295">
        <v>287</v>
      </c>
      <c r="G295" s="3">
        <f t="shared" ca="1" si="16"/>
        <v>-1.3324693846428912E-2</v>
      </c>
    </row>
    <row r="296" spans="2:7" x14ac:dyDescent="0.35">
      <c r="B296" s="94">
        <v>39845</v>
      </c>
      <c r="C296" s="49">
        <v>2.6966920000000001</v>
      </c>
      <c r="D296" s="3">
        <f t="shared" si="15"/>
        <v>-0.76578727998903584</v>
      </c>
      <c r="E296" s="3">
        <v>-9.0984485126143315E-3</v>
      </c>
      <c r="F296">
        <v>288</v>
      </c>
      <c r="G296" s="3">
        <f t="shared" ca="1" si="16"/>
        <v>-5.9013444349151338E-2</v>
      </c>
    </row>
    <row r="297" spans="2:7" x14ac:dyDescent="0.35">
      <c r="B297" s="94">
        <v>40787</v>
      </c>
      <c r="C297" s="49">
        <v>11.513858000000001</v>
      </c>
      <c r="D297" s="3">
        <f t="shared" si="15"/>
        <v>-0.56940926628176791</v>
      </c>
      <c r="E297" s="3">
        <v>-9.1207796320774762E-3</v>
      </c>
      <c r="F297">
        <v>289</v>
      </c>
      <c r="G297" s="3">
        <f t="shared" ca="1" si="16"/>
        <v>-9.5105822473717433E-2</v>
      </c>
    </row>
    <row r="298" spans="2:7" x14ac:dyDescent="0.35">
      <c r="B298" s="94">
        <v>42309</v>
      </c>
      <c r="C298" s="49">
        <v>26.739678999999999</v>
      </c>
      <c r="D298" s="3">
        <f t="shared" si="15"/>
        <v>-0.32265269108959438</v>
      </c>
      <c r="E298" s="3">
        <v>-1.004168166986133E-2</v>
      </c>
      <c r="F298">
        <v>290</v>
      </c>
      <c r="G298" s="3">
        <f t="shared" ca="1" si="16"/>
        <v>4.0112208643719262E-2</v>
      </c>
    </row>
    <row r="299" spans="2:7" x14ac:dyDescent="0.35">
      <c r="B299" s="94">
        <v>43101</v>
      </c>
      <c r="C299" s="49">
        <v>39.477058</v>
      </c>
      <c r="D299" s="3">
        <f t="shared" si="15"/>
        <v>1.2630211807166825</v>
      </c>
      <c r="E299" s="3">
        <v>-1.0636500359510659E-2</v>
      </c>
      <c r="F299">
        <v>291</v>
      </c>
      <c r="G299" s="3">
        <f t="shared" ca="1" si="16"/>
        <v>0.11554356815399064</v>
      </c>
    </row>
    <row r="300" spans="2:7" x14ac:dyDescent="0.35">
      <c r="B300" s="94">
        <v>41030</v>
      </c>
      <c r="C300" s="49">
        <v>17.444405</v>
      </c>
      <c r="D300" s="3">
        <f t="shared" si="15"/>
        <v>-0.56281297405834929</v>
      </c>
      <c r="E300" s="3">
        <v>-1.0702359497221136E-2</v>
      </c>
      <c r="F300">
        <v>292</v>
      </c>
      <c r="G300" s="3">
        <f t="shared" ca="1" si="16"/>
        <v>0.10875642475049757</v>
      </c>
    </row>
    <row r="301" spans="2:7" x14ac:dyDescent="0.35">
      <c r="B301" s="94">
        <v>43070</v>
      </c>
      <c r="C301" s="49">
        <v>39.901470000000003</v>
      </c>
      <c r="D301" s="3">
        <f t="shared" si="15"/>
        <v>137.83263107718321</v>
      </c>
      <c r="E301" s="3">
        <v>-1.1705802046614843E-2</v>
      </c>
      <c r="F301">
        <v>293</v>
      </c>
      <c r="G301" s="3">
        <f t="shared" ca="1" si="16"/>
        <v>0.11865598260392821</v>
      </c>
    </row>
    <row r="302" spans="2:7" x14ac:dyDescent="0.35">
      <c r="B302" s="94">
        <v>32143</v>
      </c>
      <c r="C302" s="49">
        <v>0.28740700000000002</v>
      </c>
      <c r="D302" s="3">
        <f t="shared" si="15"/>
        <v>-0.9871636279134538</v>
      </c>
      <c r="E302" s="3">
        <v>-1.1905662323374682E-2</v>
      </c>
      <c r="F302">
        <v>294</v>
      </c>
      <c r="G302" s="3">
        <f t="shared" ca="1" si="16"/>
        <v>4.3088124879686954E-3</v>
      </c>
    </row>
    <row r="303" spans="2:7" x14ac:dyDescent="0.35">
      <c r="B303" s="94">
        <v>41883</v>
      </c>
      <c r="C303" s="49">
        <v>22.390049000000001</v>
      </c>
      <c r="D303" s="3">
        <f t="shared" si="15"/>
        <v>78.948471020081698</v>
      </c>
      <c r="E303" s="3">
        <v>-1.2184254807374055E-2</v>
      </c>
      <c r="F303">
        <v>295</v>
      </c>
      <c r="G303" s="3">
        <f t="shared" ca="1" si="16"/>
        <v>0.11163641823458875</v>
      </c>
    </row>
    <row r="304" spans="2:7" x14ac:dyDescent="0.35">
      <c r="B304" s="94">
        <v>37104</v>
      </c>
      <c r="C304" s="49">
        <v>0.28005600000000003</v>
      </c>
      <c r="D304" s="3">
        <f t="shared" si="15"/>
        <v>-0.89037947343349333</v>
      </c>
      <c r="E304" s="3">
        <v>-1.2774957698815429E-2</v>
      </c>
      <c r="F304">
        <v>296</v>
      </c>
      <c r="G304" s="3">
        <f t="shared" ca="1" si="16"/>
        <v>-6.5973016817158114E-2</v>
      </c>
    </row>
    <row r="305" spans="2:7" x14ac:dyDescent="0.35">
      <c r="B305" s="94">
        <v>39114</v>
      </c>
      <c r="C305" s="49">
        <v>2.5547770000000001</v>
      </c>
      <c r="D305" s="3">
        <f t="shared" si="15"/>
        <v>-0.75722363128220871</v>
      </c>
      <c r="E305" s="3">
        <v>-1.3064229823514347E-2</v>
      </c>
      <c r="F305">
        <v>297</v>
      </c>
      <c r="G305" s="3">
        <f t="shared" ca="1" si="16"/>
        <v>0.15074901946664579</v>
      </c>
    </row>
    <row r="306" spans="2:7" x14ac:dyDescent="0.35">
      <c r="B306" s="94">
        <v>40603</v>
      </c>
      <c r="C306" s="49">
        <v>10.52317</v>
      </c>
      <c r="D306" s="3">
        <f t="shared" si="15"/>
        <v>-9.437909644194753E-2</v>
      </c>
      <c r="E306" s="3">
        <v>-1.3306596871323883E-2</v>
      </c>
      <c r="F306">
        <v>298</v>
      </c>
      <c r="G306" s="3">
        <f t="shared" ca="1" si="16"/>
        <v>0.10251478223152372</v>
      </c>
    </row>
    <row r="307" spans="2:7" x14ac:dyDescent="0.35">
      <c r="B307" s="94">
        <v>40756</v>
      </c>
      <c r="C307" s="49">
        <v>11.61984</v>
      </c>
      <c r="D307" s="3">
        <f t="shared" si="15"/>
        <v>45.571945026713102</v>
      </c>
      <c r="E307" s="3">
        <v>-1.4469600506104803E-2</v>
      </c>
      <c r="F307">
        <v>299</v>
      </c>
      <c r="G307" s="3">
        <f t="shared" ca="1" si="16"/>
        <v>2.0711144321225484E-2</v>
      </c>
    </row>
    <row r="308" spans="2:7" x14ac:dyDescent="0.35">
      <c r="B308" s="94">
        <v>32568</v>
      </c>
      <c r="C308" s="49">
        <v>0.249503</v>
      </c>
      <c r="D308" s="3">
        <f t="shared" si="15"/>
        <v>-0.31623343701612799</v>
      </c>
      <c r="E308" s="3">
        <v>-1.4534941129538669E-2</v>
      </c>
      <c r="F308">
        <v>300</v>
      </c>
      <c r="G308" s="3">
        <f t="shared" ca="1" si="16"/>
        <v>-1.1650778085263033E-2</v>
      </c>
    </row>
    <row r="309" spans="2:7" x14ac:dyDescent="0.35">
      <c r="B309" s="94">
        <v>33543</v>
      </c>
      <c r="C309" s="49">
        <v>0.36489500000000002</v>
      </c>
      <c r="D309" s="3">
        <f t="shared" si="15"/>
        <v>-0.9906734383526915</v>
      </c>
      <c r="E309" s="3">
        <v>-1.4561677833680235E-2</v>
      </c>
      <c r="F309">
        <v>301</v>
      </c>
      <c r="G309" s="3">
        <f t="shared" ca="1" si="16"/>
        <v>4.1432529523543621E-2</v>
      </c>
    </row>
    <row r="310" spans="2:7" x14ac:dyDescent="0.35">
      <c r="B310" s="94">
        <v>43191</v>
      </c>
      <c r="C310" s="49">
        <v>39.124279000000001</v>
      </c>
      <c r="D310" s="3">
        <f t="shared" si="15"/>
        <v>1.6432450012697946</v>
      </c>
      <c r="E310" s="3">
        <v>-1.5019709409724689E-2</v>
      </c>
      <c r="F310">
        <v>302</v>
      </c>
      <c r="G310" s="3">
        <f t="shared" ca="1" si="16"/>
        <v>5.1634287462770052E-2</v>
      </c>
    </row>
    <row r="311" spans="2:7" x14ac:dyDescent="0.35">
      <c r="B311" s="94">
        <v>41518</v>
      </c>
      <c r="C311" s="49">
        <v>14.801608999999999</v>
      </c>
      <c r="D311" s="3">
        <f t="shared" si="15"/>
        <v>-0.91411967061766664</v>
      </c>
      <c r="E311" s="3">
        <v>-1.5028302214494752E-2</v>
      </c>
      <c r="F311">
        <v>303</v>
      </c>
      <c r="G311" s="3">
        <f t="shared" ca="1" si="16"/>
        <v>0.10993252769643297</v>
      </c>
    </row>
    <row r="312" spans="2:7" x14ac:dyDescent="0.35">
      <c r="B312" s="94">
        <v>44562</v>
      </c>
      <c r="C312" s="49">
        <v>172.351563</v>
      </c>
      <c r="D312" s="3">
        <f t="shared" si="15"/>
        <v>516.84284581132476</v>
      </c>
      <c r="E312" s="3">
        <v>-1.5712203231639649E-2</v>
      </c>
      <c r="F312">
        <v>304</v>
      </c>
      <c r="G312" s="3">
        <f t="shared" ca="1" si="16"/>
        <v>0.1262697163177576</v>
      </c>
    </row>
    <row r="313" spans="2:7" x14ac:dyDescent="0.35">
      <c r="B313" s="94">
        <v>33817</v>
      </c>
      <c r="C313" s="49">
        <v>0.33282600000000001</v>
      </c>
      <c r="D313" s="3">
        <f t="shared" si="15"/>
        <v>-0.95709027768466504</v>
      </c>
      <c r="E313" s="3">
        <v>-1.6044203599081205E-2</v>
      </c>
      <c r="F313">
        <v>305</v>
      </c>
      <c r="G313" s="3">
        <f t="shared" ca="1" si="16"/>
        <v>-7.7650320568318582E-2</v>
      </c>
    </row>
    <row r="314" spans="2:7" x14ac:dyDescent="0.35">
      <c r="B314" s="94">
        <v>40299</v>
      </c>
      <c r="C314" s="49">
        <v>7.756424</v>
      </c>
      <c r="D314" s="3">
        <f t="shared" si="15"/>
        <v>22.692925195419292</v>
      </c>
      <c r="E314" s="3">
        <v>-1.6124852461678066E-2</v>
      </c>
      <c r="F314">
        <v>306</v>
      </c>
      <c r="G314" s="3">
        <f t="shared" ca="1" si="16"/>
        <v>2.2650735750944558E-2</v>
      </c>
    </row>
    <row r="315" spans="2:7" x14ac:dyDescent="0.35">
      <c r="B315" s="94">
        <v>33848</v>
      </c>
      <c r="C315" s="49">
        <v>0.32737300000000003</v>
      </c>
      <c r="D315" s="3">
        <f t="shared" si="15"/>
        <v>-0.98155463318610936</v>
      </c>
      <c r="E315" s="3">
        <v>-1.6383936351126369E-2</v>
      </c>
      <c r="F315">
        <v>307</v>
      </c>
      <c r="G315" s="3">
        <f t="shared" ca="1" si="16"/>
        <v>-0.10200512258113803</v>
      </c>
    </row>
    <row r="316" spans="2:7" x14ac:dyDescent="0.35">
      <c r="B316" s="94">
        <v>41214</v>
      </c>
      <c r="C316" s="49">
        <v>17.748251</v>
      </c>
      <c r="D316" s="3">
        <f t="shared" si="15"/>
        <v>80.07482001900307</v>
      </c>
      <c r="E316" s="3">
        <v>-1.686516591716718E-2</v>
      </c>
      <c r="F316">
        <v>308</v>
      </c>
      <c r="G316" s="3">
        <f t="shared" ca="1" si="16"/>
        <v>-0.22366707399118624</v>
      </c>
    </row>
    <row r="317" spans="2:7" x14ac:dyDescent="0.35">
      <c r="B317" s="94">
        <v>37500</v>
      </c>
      <c r="C317" s="49">
        <v>0.218912</v>
      </c>
      <c r="D317" s="3">
        <f t="shared" si="15"/>
        <v>-0.99121943350120323</v>
      </c>
      <c r="E317" s="3">
        <v>-1.6947630295573137E-2</v>
      </c>
      <c r="F317">
        <v>309</v>
      </c>
      <c r="G317" s="3">
        <f t="shared" ca="1" si="16"/>
        <v>7.4221236135382174E-2</v>
      </c>
    </row>
    <row r="318" spans="2:7" x14ac:dyDescent="0.35">
      <c r="B318" s="94">
        <v>42248</v>
      </c>
      <c r="C318" s="49">
        <v>24.931421</v>
      </c>
      <c r="D318" s="3">
        <f t="shared" si="15"/>
        <v>-0.86170349253552891</v>
      </c>
      <c r="E318" s="3">
        <v>-1.7388396384920644E-2</v>
      </c>
      <c r="F318">
        <v>310</v>
      </c>
      <c r="G318" s="3">
        <f t="shared" ca="1" si="16"/>
        <v>0.22920020451469822</v>
      </c>
    </row>
    <row r="319" spans="2:7" x14ac:dyDescent="0.35">
      <c r="B319" s="94">
        <v>45323</v>
      </c>
      <c r="C319" s="49">
        <v>180.27513099999999</v>
      </c>
      <c r="D319" s="3">
        <f t="shared" si="15"/>
        <v>2.5794731210008561</v>
      </c>
      <c r="E319" s="3">
        <v>-1.9793933349070047E-2</v>
      </c>
      <c r="F319">
        <v>311</v>
      </c>
      <c r="G319" s="3">
        <f t="shared" ca="1" si="16"/>
        <v>5.6746775722872227E-2</v>
      </c>
    </row>
    <row r="320" spans="2:7" x14ac:dyDescent="0.35">
      <c r="B320" s="94">
        <v>43678</v>
      </c>
      <c r="C320" s="49">
        <v>50.363593999999999</v>
      </c>
      <c r="D320" s="3">
        <f t="shared" si="15"/>
        <v>5.6312543104685497</v>
      </c>
      <c r="E320" s="3">
        <v>-2.018393780518573E-2</v>
      </c>
      <c r="F320">
        <v>312</v>
      </c>
      <c r="G320" s="3">
        <f t="shared" ca="1" si="16"/>
        <v>8.5988652672281091E-2</v>
      </c>
    </row>
    <row r="321" spans="2:7" x14ac:dyDescent="0.35">
      <c r="B321" s="94">
        <v>40330</v>
      </c>
      <c r="C321" s="49">
        <v>7.5948820000000001</v>
      </c>
      <c r="D321" s="3">
        <f t="shared" si="15"/>
        <v>24.762129928631516</v>
      </c>
      <c r="E321" s="3">
        <v>-2.0826865576198499E-2</v>
      </c>
      <c r="F321">
        <v>313</v>
      </c>
      <c r="G321" s="3">
        <f t="shared" ca="1" si="16"/>
        <v>4.334578222289949E-2</v>
      </c>
    </row>
    <row r="322" spans="2:7" x14ac:dyDescent="0.35">
      <c r="B322" s="94">
        <v>34731</v>
      </c>
      <c r="C322" s="49">
        <v>0.29480800000000001</v>
      </c>
      <c r="D322" s="3">
        <f t="shared" si="15"/>
        <v>5.8161404717807334E-2</v>
      </c>
      <c r="E322" s="3">
        <v>-2.1670018384670968E-2</v>
      </c>
      <c r="F322">
        <v>314</v>
      </c>
      <c r="G322" s="3">
        <f t="shared" ca="1" si="16"/>
        <v>9.6107454431494266E-2</v>
      </c>
    </row>
    <row r="323" spans="2:7" x14ac:dyDescent="0.35">
      <c r="B323" s="94">
        <v>32964</v>
      </c>
      <c r="C323" s="49">
        <v>0.27860400000000002</v>
      </c>
      <c r="D323" s="3">
        <f t="shared" si="15"/>
        <v>1.2200052590898589</v>
      </c>
      <c r="E323" s="3">
        <v>-2.1738443441773912E-2</v>
      </c>
      <c r="F323">
        <v>315</v>
      </c>
      <c r="G323" s="3">
        <f t="shared" ca="1" si="16"/>
        <v>0.1780434573296524</v>
      </c>
    </row>
    <row r="324" spans="2:7" x14ac:dyDescent="0.35">
      <c r="B324" s="94">
        <v>35551</v>
      </c>
      <c r="C324" s="49">
        <v>0.125497</v>
      </c>
      <c r="D324" s="3">
        <f t="shared" si="15"/>
        <v>2.3078929776792267E-2</v>
      </c>
      <c r="E324" s="3">
        <v>-2.206065706626769E-2</v>
      </c>
      <c r="F324">
        <v>316</v>
      </c>
      <c r="G324" s="3">
        <f t="shared" ca="1" si="16"/>
        <v>-5.5359486366774853E-2</v>
      </c>
    </row>
    <row r="325" spans="2:7" x14ac:dyDescent="0.35">
      <c r="B325" s="94">
        <v>35462</v>
      </c>
      <c r="C325" s="49">
        <v>0.122666</v>
      </c>
      <c r="D325" s="3">
        <f t="shared" si="15"/>
        <v>-0.63735428806248584</v>
      </c>
      <c r="E325" s="3">
        <v>-2.2558308166729088E-2</v>
      </c>
      <c r="F325">
        <v>317</v>
      </c>
      <c r="G325" s="3">
        <f t="shared" ca="1" si="16"/>
        <v>-3.9123152967722098E-2</v>
      </c>
    </row>
    <row r="326" spans="2:7" x14ac:dyDescent="0.35">
      <c r="B326" s="94">
        <v>33786</v>
      </c>
      <c r="C326" s="49">
        <v>0.33825300000000003</v>
      </c>
      <c r="D326" s="3">
        <f t="shared" si="15"/>
        <v>0.56563819151299732</v>
      </c>
      <c r="E326" s="3">
        <v>-2.4079700172245058E-2</v>
      </c>
      <c r="F326">
        <v>318</v>
      </c>
      <c r="G326" s="3">
        <f t="shared" ca="1" si="16"/>
        <v>8.8106118630913777E-2</v>
      </c>
    </row>
    <row r="327" spans="2:7" x14ac:dyDescent="0.35">
      <c r="B327" s="94">
        <v>34455</v>
      </c>
      <c r="C327" s="49">
        <v>0.21604799999999999</v>
      </c>
      <c r="D327" s="3">
        <f t="shared" si="15"/>
        <v>-0.20937126044331242</v>
      </c>
      <c r="E327" s="3">
        <v>-2.4996953792415691E-2</v>
      </c>
      <c r="F327">
        <v>319</v>
      </c>
      <c r="G327" s="3">
        <f t="shared" ca="1" si="16"/>
        <v>0.16398833567931601</v>
      </c>
    </row>
    <row r="328" spans="2:7" x14ac:dyDescent="0.35">
      <c r="B328" s="94">
        <v>34973</v>
      </c>
      <c r="C328" s="49">
        <v>0.27326099999999998</v>
      </c>
      <c r="D328" s="3">
        <f t="shared" si="15"/>
        <v>4.2602873004063235E-2</v>
      </c>
      <c r="E328" s="3">
        <v>-2.516454702745128E-2</v>
      </c>
      <c r="F328">
        <v>320</v>
      </c>
      <c r="G328" s="3">
        <f t="shared" ca="1" si="16"/>
        <v>6.5344495831241509E-3</v>
      </c>
    </row>
    <row r="329" spans="2:7" x14ac:dyDescent="0.35">
      <c r="B329" s="94">
        <v>32448</v>
      </c>
      <c r="C329" s="49">
        <v>0.26209500000000002</v>
      </c>
      <c r="D329" s="3">
        <f t="shared" ref="D329:D392" si="17">(C329-C330)/C330</f>
        <v>-0.98513621043036004</v>
      </c>
      <c r="E329" s="3">
        <v>-2.5886419386010551E-2</v>
      </c>
      <c r="F329">
        <v>321</v>
      </c>
      <c r="G329" s="3">
        <f t="shared" ca="1" si="16"/>
        <v>4.2302733464782118E-2</v>
      </c>
    </row>
    <row r="330" spans="2:7" x14ac:dyDescent="0.35">
      <c r="B330" s="94">
        <v>41000</v>
      </c>
      <c r="C330" s="49">
        <v>17.633120999999999</v>
      </c>
      <c r="D330" s="3">
        <f t="shared" si="17"/>
        <v>45.992458019417263</v>
      </c>
      <c r="E330" s="3">
        <v>-2.5969368706206475E-2</v>
      </c>
      <c r="F330">
        <v>322</v>
      </c>
      <c r="G330" s="3">
        <f t="shared" ref="G330:G393" ca="1" si="18">_xlfn.NORM.INV(RAND(),$L$10,$L$11)</f>
        <v>0.15306092487628981</v>
      </c>
    </row>
    <row r="331" spans="2:7" x14ac:dyDescent="0.35">
      <c r="B331" s="94">
        <v>34029</v>
      </c>
      <c r="C331" s="49">
        <v>0.37523299999999998</v>
      </c>
      <c r="D331" s="3">
        <f t="shared" si="17"/>
        <v>0.33894627914860193</v>
      </c>
      <c r="E331" s="3">
        <v>-2.6183296048499734E-2</v>
      </c>
      <c r="F331">
        <v>323</v>
      </c>
      <c r="G331" s="3">
        <f t="shared" ca="1" si="18"/>
        <v>0.21253617137045278</v>
      </c>
    </row>
    <row r="332" spans="2:7" x14ac:dyDescent="0.35">
      <c r="B332" s="94">
        <v>36069</v>
      </c>
      <c r="C332" s="49">
        <v>0.28024500000000002</v>
      </c>
      <c r="D332" s="3">
        <f t="shared" si="17"/>
        <v>-0.98901657325786319</v>
      </c>
      <c r="E332" s="3">
        <v>-2.6230567697728142E-2</v>
      </c>
      <c r="F332">
        <v>324</v>
      </c>
      <c r="G332" s="3">
        <f t="shared" ca="1" si="18"/>
        <v>3.5846150377524068E-2</v>
      </c>
    </row>
    <row r="333" spans="2:7" x14ac:dyDescent="0.35">
      <c r="B333" s="94">
        <v>42675</v>
      </c>
      <c r="C333" s="49">
        <v>25.515260999999999</v>
      </c>
      <c r="D333" s="3">
        <f t="shared" si="17"/>
        <v>125.95170262309438</v>
      </c>
      <c r="E333" s="3">
        <v>-2.6598779413516849E-2</v>
      </c>
      <c r="F333">
        <v>325</v>
      </c>
      <c r="G333" s="3">
        <f t="shared" ca="1" si="18"/>
        <v>5.9585735602542107E-2</v>
      </c>
    </row>
    <row r="334" spans="2:7" x14ac:dyDescent="0.35">
      <c r="B334" s="94">
        <v>35916</v>
      </c>
      <c r="C334" s="49">
        <v>0.200984</v>
      </c>
      <c r="D334" s="3">
        <f t="shared" si="17"/>
        <v>-0.99279163967351214</v>
      </c>
      <c r="E334" s="3">
        <v>-2.7399514144962885E-2</v>
      </c>
      <c r="F334">
        <v>326</v>
      </c>
      <c r="G334" s="3">
        <f t="shared" ca="1" si="18"/>
        <v>0.1112811570094687</v>
      </c>
    </row>
    <row r="335" spans="2:7" x14ac:dyDescent="0.35">
      <c r="B335" s="94">
        <v>42064</v>
      </c>
      <c r="C335" s="49">
        <v>27.882069000000001</v>
      </c>
      <c r="D335" s="3">
        <f t="shared" si="17"/>
        <v>57.339719956646007</v>
      </c>
      <c r="E335" s="3">
        <v>-2.7548232714016754E-2</v>
      </c>
      <c r="F335">
        <v>327</v>
      </c>
      <c r="G335" s="3">
        <f t="shared" ca="1" si="18"/>
        <v>0.16311129410430314</v>
      </c>
    </row>
    <row r="336" spans="2:7" x14ac:dyDescent="0.35">
      <c r="B336" s="94">
        <v>36404</v>
      </c>
      <c r="C336" s="49">
        <v>0.47792600000000002</v>
      </c>
      <c r="D336" s="3">
        <f t="shared" si="17"/>
        <v>-0.37699883332138412</v>
      </c>
      <c r="E336" s="3">
        <v>-2.9692356730572061E-2</v>
      </c>
      <c r="F336">
        <v>328</v>
      </c>
      <c r="G336" s="3">
        <f t="shared" ca="1" si="18"/>
        <v>6.2608505204097553E-2</v>
      </c>
    </row>
    <row r="337" spans="2:7" x14ac:dyDescent="0.35">
      <c r="B337" s="94">
        <v>36708</v>
      </c>
      <c r="C337" s="49">
        <v>0.76713500000000001</v>
      </c>
      <c r="D337" s="3">
        <f t="shared" si="17"/>
        <v>5.2062423649146083</v>
      </c>
      <c r="E337" s="3">
        <v>-2.9833380758164975E-2</v>
      </c>
      <c r="F337">
        <v>329</v>
      </c>
      <c r="G337" s="3">
        <f t="shared" ca="1" si="18"/>
        <v>-7.8483058473809736E-2</v>
      </c>
    </row>
    <row r="338" spans="2:7" x14ac:dyDescent="0.35">
      <c r="B338" s="94">
        <v>31564</v>
      </c>
      <c r="C338" s="49">
        <v>0.12360699999999999</v>
      </c>
      <c r="D338" s="3">
        <f t="shared" si="17"/>
        <v>-0.99763186675445126</v>
      </c>
      <c r="E338" s="3">
        <v>-3.0411659502368862E-2</v>
      </c>
      <c r="F338">
        <v>330</v>
      </c>
      <c r="G338" s="3">
        <f t="shared" ca="1" si="18"/>
        <v>-2.8521697385382877E-3</v>
      </c>
    </row>
    <row r="339" spans="2:7" x14ac:dyDescent="0.35">
      <c r="B339" s="94">
        <v>43374</v>
      </c>
      <c r="C339" s="49">
        <v>52.195965000000001</v>
      </c>
      <c r="D339" s="3">
        <f t="shared" si="17"/>
        <v>2.8818032652653858</v>
      </c>
      <c r="E339" s="3">
        <v>-3.0477458223582603E-2</v>
      </c>
      <c r="F339">
        <v>331</v>
      </c>
      <c r="G339" s="3">
        <f t="shared" ca="1" si="18"/>
        <v>6.4192081887893659E-2</v>
      </c>
    </row>
    <row r="340" spans="2:7" x14ac:dyDescent="0.35">
      <c r="B340" s="94">
        <v>41306</v>
      </c>
      <c r="C340" s="49">
        <v>13.446319000000001</v>
      </c>
      <c r="D340" s="3">
        <f t="shared" si="17"/>
        <v>38.81569908265574</v>
      </c>
      <c r="E340" s="3">
        <v>-3.0933503263080666E-2</v>
      </c>
      <c r="F340">
        <v>332</v>
      </c>
      <c r="G340" s="3">
        <f t="shared" ca="1" si="18"/>
        <v>-0.2282596221682297</v>
      </c>
    </row>
    <row r="341" spans="2:7" x14ac:dyDescent="0.35">
      <c r="B341" s="94">
        <v>34881</v>
      </c>
      <c r="C341" s="49">
        <v>0.33771400000000001</v>
      </c>
      <c r="D341" s="3">
        <f t="shared" si="17"/>
        <v>-0.99782766306676829</v>
      </c>
      <c r="E341" s="3">
        <v>-3.0958126615839729E-2</v>
      </c>
      <c r="F341">
        <v>333</v>
      </c>
      <c r="G341" s="3">
        <f t="shared" ca="1" si="18"/>
        <v>2.0960805321412739E-2</v>
      </c>
    </row>
    <row r="342" spans="2:7" x14ac:dyDescent="0.35">
      <c r="B342" s="94">
        <v>44774</v>
      </c>
      <c r="C342" s="49">
        <v>155.461151</v>
      </c>
      <c r="D342" s="3">
        <f t="shared" si="17"/>
        <v>4.6957523177246356</v>
      </c>
      <c r="E342" s="3">
        <v>-3.255193448166116E-2</v>
      </c>
      <c r="F342">
        <v>334</v>
      </c>
      <c r="G342" s="3">
        <f t="shared" ca="1" si="18"/>
        <v>-0.11348730484101982</v>
      </c>
    </row>
    <row r="343" spans="2:7" x14ac:dyDescent="0.35">
      <c r="B343" s="94">
        <v>42186</v>
      </c>
      <c r="C343" s="49">
        <v>27.294225999999998</v>
      </c>
      <c r="D343" s="3">
        <f t="shared" si="17"/>
        <v>-3.2926774306380358E-2</v>
      </c>
      <c r="E343" s="3">
        <v>-3.2926774306380358E-2</v>
      </c>
      <c r="F343">
        <v>335</v>
      </c>
      <c r="G343" s="3">
        <f t="shared" ca="1" si="18"/>
        <v>0.16377981870538363</v>
      </c>
    </row>
    <row r="344" spans="2:7" x14ac:dyDescent="0.35">
      <c r="B344" s="94">
        <v>42156</v>
      </c>
      <c r="C344" s="49">
        <v>28.223535999999999</v>
      </c>
      <c r="D344" s="3">
        <f t="shared" si="17"/>
        <v>125.74140269258059</v>
      </c>
      <c r="E344" s="3">
        <v>-3.3206034189731774E-2</v>
      </c>
      <c r="F344">
        <v>336</v>
      </c>
      <c r="G344" s="3">
        <f t="shared" ca="1" si="18"/>
        <v>-8.0904568314555836E-2</v>
      </c>
    </row>
    <row r="345" spans="2:7" x14ac:dyDescent="0.35">
      <c r="B345" s="94">
        <v>37469</v>
      </c>
      <c r="C345" s="49">
        <v>0.222686</v>
      </c>
      <c r="D345" s="3">
        <f t="shared" si="17"/>
        <v>-0.99848076051837931</v>
      </c>
      <c r="E345" s="3">
        <v>-3.3422169749898048E-2</v>
      </c>
      <c r="F345">
        <v>337</v>
      </c>
      <c r="G345" s="3">
        <f t="shared" ca="1" si="18"/>
        <v>9.415334219314983E-2</v>
      </c>
    </row>
    <row r="346" spans="2:7" x14ac:dyDescent="0.35">
      <c r="B346" s="94">
        <v>44866</v>
      </c>
      <c r="C346" s="49">
        <v>146.57728599999999</v>
      </c>
      <c r="D346" s="3">
        <f t="shared" si="17"/>
        <v>13.461818680875778</v>
      </c>
      <c r="E346" s="3">
        <v>-3.4628824013020712E-2</v>
      </c>
      <c r="F346">
        <v>338</v>
      </c>
      <c r="G346" s="3">
        <f t="shared" ca="1" si="18"/>
        <v>7.4473293111818842E-2</v>
      </c>
    </row>
    <row r="347" spans="2:7" x14ac:dyDescent="0.35">
      <c r="B347" s="94">
        <v>40695</v>
      </c>
      <c r="C347" s="49">
        <v>10.135467</v>
      </c>
      <c r="D347" s="3">
        <f t="shared" si="17"/>
        <v>42.312110593564384</v>
      </c>
      <c r="E347" s="3">
        <v>-3.4959883412148361E-2</v>
      </c>
      <c r="F347">
        <v>339</v>
      </c>
      <c r="G347" s="3">
        <f t="shared" ca="1" si="18"/>
        <v>0.31119510404143103</v>
      </c>
    </row>
    <row r="348" spans="2:7" x14ac:dyDescent="0.35">
      <c r="B348" s="94">
        <v>37561</v>
      </c>
      <c r="C348" s="49">
        <v>0.23401</v>
      </c>
      <c r="D348" s="3">
        <f t="shared" si="17"/>
        <v>-2.4141051463934447E-2</v>
      </c>
      <c r="E348" s="3">
        <v>-3.5463740756922518E-2</v>
      </c>
      <c r="F348">
        <v>340</v>
      </c>
      <c r="G348" s="3">
        <f t="shared" ca="1" si="18"/>
        <v>0.23402356036665914</v>
      </c>
    </row>
    <row r="349" spans="2:7" x14ac:dyDescent="0.35">
      <c r="B349" s="94">
        <v>32874</v>
      </c>
      <c r="C349" s="49">
        <v>0.23979900000000001</v>
      </c>
      <c r="D349" s="3">
        <f t="shared" si="17"/>
        <v>-0.14051461812238575</v>
      </c>
      <c r="E349" s="3">
        <v>-3.5464330533835277E-2</v>
      </c>
      <c r="F349">
        <v>341</v>
      </c>
      <c r="G349" s="3">
        <f t="shared" ca="1" si="18"/>
        <v>0.14617306521758175</v>
      </c>
    </row>
    <row r="350" spans="2:7" x14ac:dyDescent="0.35">
      <c r="B350" s="94">
        <v>32690</v>
      </c>
      <c r="C350" s="49">
        <v>0.279003</v>
      </c>
      <c r="D350" s="3">
        <f t="shared" si="17"/>
        <v>-0.98729021217464319</v>
      </c>
      <c r="E350" s="3">
        <v>-3.6365583078899776E-2</v>
      </c>
      <c r="F350">
        <v>342</v>
      </c>
      <c r="G350" s="3">
        <f t="shared" ca="1" si="18"/>
        <v>2.5328723155301998E-2</v>
      </c>
    </row>
    <row r="351" spans="2:7" x14ac:dyDescent="0.35">
      <c r="B351" s="94">
        <v>42522</v>
      </c>
      <c r="C351" s="49">
        <v>21.951822</v>
      </c>
      <c r="D351" s="3">
        <f t="shared" si="17"/>
        <v>21.577884149583809</v>
      </c>
      <c r="E351" s="3">
        <v>-3.6831152306257955E-2</v>
      </c>
      <c r="F351">
        <v>343</v>
      </c>
      <c r="G351" s="3">
        <f t="shared" ca="1" si="18"/>
        <v>-6.8277530950743376E-2</v>
      </c>
    </row>
    <row r="352" spans="2:7" x14ac:dyDescent="0.35">
      <c r="B352" s="94">
        <v>38322</v>
      </c>
      <c r="C352" s="49">
        <v>0.972271</v>
      </c>
      <c r="D352" s="3">
        <f t="shared" si="17"/>
        <v>12.279306718385074</v>
      </c>
      <c r="E352" s="3">
        <v>-3.9522700757399824E-2</v>
      </c>
      <c r="F352">
        <v>344</v>
      </c>
      <c r="G352" s="3">
        <f t="shared" ca="1" si="18"/>
        <v>5.0023469999537939E-2</v>
      </c>
    </row>
    <row r="353" spans="2:7" x14ac:dyDescent="0.35">
      <c r="B353" s="94">
        <v>31138</v>
      </c>
      <c r="C353" s="49">
        <v>7.3217000000000004E-2</v>
      </c>
      <c r="D353" s="3">
        <f t="shared" si="17"/>
        <v>-0.71081391720613152</v>
      </c>
      <c r="E353" s="3">
        <v>-3.9537720874709623E-2</v>
      </c>
      <c r="F353">
        <v>345</v>
      </c>
      <c r="G353" s="3">
        <f t="shared" ca="1" si="18"/>
        <v>-0.24780830006466287</v>
      </c>
    </row>
    <row r="354" spans="2:7" x14ac:dyDescent="0.35">
      <c r="B354" s="94">
        <v>32540</v>
      </c>
      <c r="C354" s="49">
        <v>0.25318299999999999</v>
      </c>
      <c r="D354" s="3">
        <f t="shared" si="17"/>
        <v>-0.2802557367355758</v>
      </c>
      <c r="E354" s="3">
        <v>-3.9733140154517718E-2</v>
      </c>
      <c r="F354">
        <v>346</v>
      </c>
      <c r="G354" s="3">
        <f t="shared" ca="1" si="18"/>
        <v>6.1934516261218757E-2</v>
      </c>
    </row>
    <row r="355" spans="2:7" x14ac:dyDescent="0.35">
      <c r="B355" s="94">
        <v>37377</v>
      </c>
      <c r="C355" s="49">
        <v>0.35176800000000003</v>
      </c>
      <c r="D355" s="3">
        <f t="shared" si="17"/>
        <v>0.14013087741019606</v>
      </c>
      <c r="E355" s="3">
        <v>-3.9968560067464756E-2</v>
      </c>
      <c r="F355">
        <v>347</v>
      </c>
      <c r="G355" s="3">
        <f t="shared" ca="1" si="18"/>
        <v>6.0352283442962416E-2</v>
      </c>
    </row>
    <row r="356" spans="2:7" x14ac:dyDescent="0.35">
      <c r="B356" s="94">
        <v>32325</v>
      </c>
      <c r="C356" s="49">
        <v>0.308533</v>
      </c>
      <c r="D356" s="3">
        <f t="shared" si="17"/>
        <v>-0.94392434867872821</v>
      </c>
      <c r="E356" s="3">
        <v>-4.0538733522198944E-2</v>
      </c>
      <c r="F356">
        <v>348</v>
      </c>
      <c r="G356" s="3">
        <f t="shared" ca="1" si="18"/>
        <v>7.544609992539543E-2</v>
      </c>
    </row>
    <row r="357" spans="2:7" x14ac:dyDescent="0.35">
      <c r="B357" s="94">
        <v>39387</v>
      </c>
      <c r="C357" s="49">
        <v>5.5020850000000001</v>
      </c>
      <c r="D357" s="3">
        <f t="shared" si="17"/>
        <v>2.1817698162154411</v>
      </c>
      <c r="E357" s="3">
        <v>-4.0695033781763333E-2</v>
      </c>
      <c r="F357">
        <v>349</v>
      </c>
      <c r="G357" s="3">
        <f t="shared" ca="1" si="18"/>
        <v>9.1624992841533665E-2</v>
      </c>
    </row>
    <row r="358" spans="2:7" x14ac:dyDescent="0.35">
      <c r="B358" s="94">
        <v>38869</v>
      </c>
      <c r="C358" s="49">
        <v>1.7292529999999999</v>
      </c>
      <c r="D358" s="3">
        <f t="shared" si="17"/>
        <v>4.1989783953772237</v>
      </c>
      <c r="E358" s="3">
        <v>-4.1827077584582865E-2</v>
      </c>
      <c r="F358">
        <v>350</v>
      </c>
      <c r="G358" s="3">
        <f t="shared" ca="1" si="18"/>
        <v>1.8018276263115036E-2</v>
      </c>
    </row>
    <row r="359" spans="2:7" x14ac:dyDescent="0.35">
      <c r="B359" s="94">
        <v>36281</v>
      </c>
      <c r="C359" s="49">
        <v>0.33261400000000002</v>
      </c>
      <c r="D359" s="3">
        <f t="shared" si="17"/>
        <v>-0.99819148509922295</v>
      </c>
      <c r="E359" s="3">
        <v>-4.2117964859937962E-2</v>
      </c>
      <c r="F359">
        <v>351</v>
      </c>
      <c r="G359" s="3">
        <f t="shared" ca="1" si="18"/>
        <v>-0.10441508226754553</v>
      </c>
    </row>
    <row r="360" spans="2:7" x14ac:dyDescent="0.35">
      <c r="B360" s="94">
        <v>45292</v>
      </c>
      <c r="C360" s="49">
        <v>183.91554300000001</v>
      </c>
      <c r="D360" s="3">
        <f t="shared" si="17"/>
        <v>-1.5849898874681665E-2</v>
      </c>
      <c r="E360" s="3">
        <v>-4.2227191330091965E-2</v>
      </c>
      <c r="F360">
        <v>352</v>
      </c>
      <c r="G360" s="3">
        <f t="shared" ca="1" si="18"/>
        <v>8.8433698853350062E-2</v>
      </c>
    </row>
    <row r="361" spans="2:7" x14ac:dyDescent="0.35">
      <c r="B361" s="94">
        <v>45139</v>
      </c>
      <c r="C361" s="49">
        <v>186.877533</v>
      </c>
      <c r="D361" s="3">
        <f t="shared" si="17"/>
        <v>578.09711036395458</v>
      </c>
      <c r="E361" s="3">
        <v>-4.3675278724642275E-2</v>
      </c>
      <c r="F361">
        <v>353</v>
      </c>
      <c r="G361" s="3">
        <f t="shared" ca="1" si="18"/>
        <v>7.9140253569984415E-2</v>
      </c>
    </row>
    <row r="362" spans="2:7" x14ac:dyDescent="0.35">
      <c r="B362" s="94">
        <v>34912</v>
      </c>
      <c r="C362" s="49">
        <v>0.32270500000000002</v>
      </c>
      <c r="D362" s="3">
        <f t="shared" si="17"/>
        <v>0.66785538930666477</v>
      </c>
      <c r="E362" s="3">
        <v>-4.4442931000787632E-2</v>
      </c>
      <c r="F362">
        <v>354</v>
      </c>
      <c r="G362" s="3">
        <f t="shared" ca="1" si="18"/>
        <v>1.127873056310714E-2</v>
      </c>
    </row>
    <row r="363" spans="2:7" x14ac:dyDescent="0.35">
      <c r="B363" s="94">
        <v>34182</v>
      </c>
      <c r="C363" s="49">
        <v>0.19348499999999999</v>
      </c>
      <c r="D363" s="3">
        <f t="shared" si="17"/>
        <v>-0.50287762390483293</v>
      </c>
      <c r="E363" s="3">
        <v>-4.5046690225652955E-2</v>
      </c>
      <c r="F363">
        <v>355</v>
      </c>
      <c r="G363" s="3">
        <f t="shared" ca="1" si="18"/>
        <v>0.23311649661301284</v>
      </c>
    </row>
    <row r="364" spans="2:7" x14ac:dyDescent="0.35">
      <c r="B364" s="94">
        <v>38078</v>
      </c>
      <c r="C364" s="49">
        <v>0.38921</v>
      </c>
      <c r="D364" s="3">
        <f t="shared" si="17"/>
        <v>0.2501726491608447</v>
      </c>
      <c r="E364" s="3">
        <v>-4.6598388665296565E-2</v>
      </c>
      <c r="F364">
        <v>356</v>
      </c>
      <c r="G364" s="3">
        <f t="shared" ca="1" si="18"/>
        <v>-2.6290514482277719E-2</v>
      </c>
    </row>
    <row r="365" spans="2:7" x14ac:dyDescent="0.35">
      <c r="B365" s="94">
        <v>32813</v>
      </c>
      <c r="C365" s="49">
        <v>0.31132500000000002</v>
      </c>
      <c r="D365" s="3">
        <f t="shared" si="17"/>
        <v>-0.99818201965496456</v>
      </c>
      <c r="E365" s="3">
        <v>-4.8389759014048295E-2</v>
      </c>
      <c r="F365">
        <v>357</v>
      </c>
      <c r="G365" s="3">
        <f t="shared" ca="1" si="18"/>
        <v>-6.9464630870471028E-2</v>
      </c>
    </row>
    <row r="366" spans="2:7" x14ac:dyDescent="0.35">
      <c r="B366" s="94">
        <v>45352</v>
      </c>
      <c r="C366" s="49">
        <v>171.247726</v>
      </c>
      <c r="D366" s="3">
        <f t="shared" si="17"/>
        <v>34.680675693667595</v>
      </c>
      <c r="E366" s="3">
        <v>-5.0075709000594146E-2</v>
      </c>
      <c r="F366">
        <v>358</v>
      </c>
      <c r="G366" s="3">
        <f t="shared" ca="1" si="18"/>
        <v>-8.2817705656895946E-2</v>
      </c>
    </row>
    <row r="367" spans="2:7" x14ac:dyDescent="0.35">
      <c r="B367" s="94">
        <v>39630</v>
      </c>
      <c r="C367" s="49">
        <v>4.7994529999999997</v>
      </c>
      <c r="D367" s="3">
        <f t="shared" si="17"/>
        <v>-0.96075936823558505</v>
      </c>
      <c r="E367" s="3">
        <v>-5.0705238271461651E-2</v>
      </c>
      <c r="F367">
        <v>359</v>
      </c>
      <c r="G367" s="3">
        <f t="shared" ca="1" si="18"/>
        <v>-4.2939947245784309E-2</v>
      </c>
    </row>
    <row r="368" spans="2:7" x14ac:dyDescent="0.35">
      <c r="B368" s="94">
        <v>44317</v>
      </c>
      <c r="C368" s="49">
        <v>122.30825</v>
      </c>
      <c r="D368" s="3">
        <f t="shared" si="17"/>
        <v>2.628957615002232</v>
      </c>
      <c r="E368" s="3">
        <v>-5.2107131825248884E-2</v>
      </c>
      <c r="F368">
        <v>360</v>
      </c>
      <c r="G368" s="3">
        <f t="shared" ca="1" si="18"/>
        <v>1.4696976472578387E-2</v>
      </c>
    </row>
    <row r="369" spans="2:7" x14ac:dyDescent="0.35">
      <c r="B369" s="94">
        <v>42887</v>
      </c>
      <c r="C369" s="49">
        <v>33.703411000000003</v>
      </c>
      <c r="D369" s="3">
        <f t="shared" si="17"/>
        <v>9.3745833656544324</v>
      </c>
      <c r="E369" s="3">
        <v>-5.3322199431848516E-2</v>
      </c>
      <c r="F369">
        <v>361</v>
      </c>
      <c r="G369" s="3">
        <f t="shared" ca="1" si="18"/>
        <v>-0.13589199484070077</v>
      </c>
    </row>
    <row r="370" spans="2:7" x14ac:dyDescent="0.35">
      <c r="B370" s="94">
        <v>39722</v>
      </c>
      <c r="C370" s="49">
        <v>3.2486519999999999</v>
      </c>
      <c r="D370" s="3">
        <f t="shared" si="17"/>
        <v>-0.9182129799507186</v>
      </c>
      <c r="E370" s="3">
        <v>-5.3404873170637947E-2</v>
      </c>
      <c r="F370">
        <v>362</v>
      </c>
      <c r="G370" s="3">
        <f t="shared" ca="1" si="18"/>
        <v>0.14531837847604151</v>
      </c>
    </row>
    <row r="371" spans="2:7" x14ac:dyDescent="0.35">
      <c r="B371" s="94">
        <v>43160</v>
      </c>
      <c r="C371" s="49">
        <v>39.720874999999999</v>
      </c>
      <c r="D371" s="3">
        <f t="shared" si="17"/>
        <v>4.4113119540359227</v>
      </c>
      <c r="E371" s="3">
        <v>-5.4210250334936032E-2</v>
      </c>
      <c r="F371">
        <v>363</v>
      </c>
      <c r="G371" s="3">
        <f t="shared" ca="1" si="18"/>
        <v>-0.12486302387483686</v>
      </c>
    </row>
    <row r="372" spans="2:7" x14ac:dyDescent="0.35">
      <c r="B372" s="94">
        <v>40391</v>
      </c>
      <c r="C372" s="49">
        <v>7.3403409999999996</v>
      </c>
      <c r="D372" s="3">
        <f t="shared" si="17"/>
        <v>141.02896559730661</v>
      </c>
      <c r="E372" s="3">
        <v>-5.500479170131925E-2</v>
      </c>
      <c r="F372">
        <v>364</v>
      </c>
      <c r="G372" s="3">
        <f t="shared" ca="1" si="18"/>
        <v>0.3064979470260748</v>
      </c>
    </row>
    <row r="373" spans="2:7" x14ac:dyDescent="0.35">
      <c r="B373" s="94">
        <v>31260</v>
      </c>
      <c r="C373" s="49">
        <v>5.1681999999999999E-2</v>
      </c>
      <c r="D373" s="3">
        <f t="shared" si="17"/>
        <v>-0.99968259325036224</v>
      </c>
      <c r="E373" s="3">
        <v>-5.513912757322019E-2</v>
      </c>
      <c r="F373">
        <v>365</v>
      </c>
      <c r="G373" s="3">
        <f t="shared" ca="1" si="18"/>
        <v>-7.4338033906447804E-2</v>
      </c>
    </row>
    <row r="374" spans="2:7" x14ac:dyDescent="0.35">
      <c r="B374" s="94">
        <v>44593</v>
      </c>
      <c r="C374" s="49">
        <v>162.82577499999999</v>
      </c>
      <c r="D374" s="3">
        <f t="shared" si="17"/>
        <v>13.109162589117146</v>
      </c>
      <c r="E374" s="3">
        <v>-5.5269519081762003E-2</v>
      </c>
      <c r="F374">
        <v>366</v>
      </c>
      <c r="G374" s="3">
        <f t="shared" ca="1" si="18"/>
        <v>0.18647477421294661</v>
      </c>
    </row>
    <row r="375" spans="2:7" x14ac:dyDescent="0.35">
      <c r="B375" s="94">
        <v>40848</v>
      </c>
      <c r="C375" s="49">
        <v>11.540428</v>
      </c>
      <c r="D375" s="3">
        <f t="shared" si="17"/>
        <v>-0.92147177609774444</v>
      </c>
      <c r="E375" s="3">
        <v>-5.5783455485113667E-2</v>
      </c>
      <c r="F375">
        <v>367</v>
      </c>
      <c r="G375" s="3">
        <f t="shared" ca="1" si="18"/>
        <v>-5.7735794217601201E-2</v>
      </c>
    </row>
    <row r="376" spans="2:7" x14ac:dyDescent="0.35">
      <c r="B376" s="94">
        <v>44682</v>
      </c>
      <c r="C376" s="49">
        <v>146.95898399999999</v>
      </c>
      <c r="D376" s="3">
        <f t="shared" si="17"/>
        <v>3.0586720787087338</v>
      </c>
      <c r="E376" s="3">
        <v>-5.5883251576236505E-2</v>
      </c>
      <c r="F376">
        <v>368</v>
      </c>
      <c r="G376" s="3">
        <f t="shared" ca="1" si="18"/>
        <v>-0.10396681929754192</v>
      </c>
    </row>
    <row r="377" spans="2:7" x14ac:dyDescent="0.35">
      <c r="B377" s="94">
        <v>42979</v>
      </c>
      <c r="C377" s="49">
        <v>36.208637000000003</v>
      </c>
      <c r="D377" s="3">
        <f t="shared" si="17"/>
        <v>168.61376166987546</v>
      </c>
      <c r="E377" s="3">
        <v>-5.655318049822794E-2</v>
      </c>
      <c r="F377">
        <v>369</v>
      </c>
      <c r="G377" s="3">
        <f t="shared" ca="1" si="18"/>
        <v>6.0736112676312785E-2</v>
      </c>
    </row>
    <row r="378" spans="2:7" x14ac:dyDescent="0.35">
      <c r="B378" s="94">
        <v>37681</v>
      </c>
      <c r="C378" s="49">
        <v>0.213477</v>
      </c>
      <c r="D378" s="3">
        <f t="shared" si="17"/>
        <v>-0.99799563427461735</v>
      </c>
      <c r="E378" s="3">
        <v>-5.796250860501654E-2</v>
      </c>
      <c r="F378">
        <v>370</v>
      </c>
      <c r="G378" s="3">
        <f t="shared" ca="1" si="18"/>
        <v>7.0522394769283334E-2</v>
      </c>
    </row>
    <row r="379" spans="2:7" x14ac:dyDescent="0.35">
      <c r="B379" s="94">
        <v>44105</v>
      </c>
      <c r="C379" s="49">
        <v>106.506012</v>
      </c>
      <c r="D379" s="3">
        <f t="shared" si="17"/>
        <v>356.40032617230759</v>
      </c>
      <c r="E379" s="3">
        <v>-6.0012086767901596E-2</v>
      </c>
      <c r="F379">
        <v>371</v>
      </c>
      <c r="G379" s="3">
        <f t="shared" ca="1" si="18"/>
        <v>-0.16599203712136423</v>
      </c>
    </row>
    <row r="380" spans="2:7" x14ac:dyDescent="0.35">
      <c r="B380" s="94">
        <v>33055</v>
      </c>
      <c r="C380" s="49">
        <v>0.29800199999999999</v>
      </c>
      <c r="D380" s="3">
        <f t="shared" si="17"/>
        <v>0.13025536772877094</v>
      </c>
      <c r="E380" s="3">
        <v>-6.1452408397740028E-2</v>
      </c>
      <c r="F380">
        <v>372</v>
      </c>
      <c r="G380" s="3">
        <f t="shared" ca="1" si="18"/>
        <v>0.22467659510068599</v>
      </c>
    </row>
    <row r="381" spans="2:7" x14ac:dyDescent="0.35">
      <c r="B381" s="94">
        <v>32509</v>
      </c>
      <c r="C381" s="49">
        <v>0.26365899999999998</v>
      </c>
      <c r="D381" s="3">
        <f t="shared" si="17"/>
        <v>-0.25919130559387704</v>
      </c>
      <c r="E381" s="3">
        <v>-6.2112265224815048E-2</v>
      </c>
      <c r="F381">
        <v>373</v>
      </c>
      <c r="G381" s="3">
        <f t="shared" ca="1" si="18"/>
        <v>-7.2754938656193452E-2</v>
      </c>
    </row>
    <row r="382" spans="2:7" x14ac:dyDescent="0.35">
      <c r="B382" s="94">
        <v>33482</v>
      </c>
      <c r="C382" s="49">
        <v>0.35590699999999997</v>
      </c>
      <c r="D382" s="3">
        <f t="shared" si="17"/>
        <v>0.41981154656283892</v>
      </c>
      <c r="E382" s="3">
        <v>-6.3929786909477357E-2</v>
      </c>
      <c r="F382">
        <v>374</v>
      </c>
      <c r="G382" s="3">
        <f t="shared" ca="1" si="18"/>
        <v>-8.653123945139099E-2</v>
      </c>
    </row>
    <row r="383" spans="2:7" x14ac:dyDescent="0.35">
      <c r="B383" s="94">
        <v>34578</v>
      </c>
      <c r="C383" s="49">
        <v>0.25067200000000001</v>
      </c>
      <c r="D383" s="3">
        <f t="shared" si="17"/>
        <v>-0.99820088371525084</v>
      </c>
      <c r="E383" s="3">
        <v>-6.5862729461217864E-2</v>
      </c>
      <c r="F383">
        <v>375</v>
      </c>
      <c r="G383" s="3">
        <f t="shared" ca="1" si="18"/>
        <v>0.1372230683666015</v>
      </c>
    </row>
    <row r="384" spans="2:7" x14ac:dyDescent="0.35">
      <c r="B384" s="94">
        <v>44440</v>
      </c>
      <c r="C384" s="49">
        <v>139.33062699999999</v>
      </c>
      <c r="D384" s="3">
        <f t="shared" si="17"/>
        <v>1.2502350397310129</v>
      </c>
      <c r="E384" s="3">
        <v>-6.6640378015309726E-2</v>
      </c>
      <c r="F384">
        <v>376</v>
      </c>
      <c r="G384" s="3">
        <f t="shared" ca="1" si="18"/>
        <v>8.7708490915710657E-3</v>
      </c>
    </row>
    <row r="385" spans="2:7" x14ac:dyDescent="0.35">
      <c r="B385" s="94">
        <v>43891</v>
      </c>
      <c r="C385" s="49">
        <v>61.918255000000002</v>
      </c>
      <c r="D385" s="3">
        <f t="shared" si="17"/>
        <v>1.5132703358200477</v>
      </c>
      <c r="E385" s="3">
        <v>-6.7553819638803608E-2</v>
      </c>
      <c r="F385">
        <v>377</v>
      </c>
      <c r="G385" s="3">
        <f t="shared" ca="1" si="18"/>
        <v>0.12041040485887228</v>
      </c>
    </row>
    <row r="386" spans="2:7" x14ac:dyDescent="0.35">
      <c r="B386" s="94">
        <v>41974</v>
      </c>
      <c r="C386" s="49">
        <v>24.636527999999998</v>
      </c>
      <c r="D386" s="3">
        <f t="shared" si="17"/>
        <v>87.759490569776446</v>
      </c>
      <c r="E386" s="3">
        <v>-6.7866604414788284E-2</v>
      </c>
      <c r="F386">
        <v>378</v>
      </c>
      <c r="G386" s="3">
        <f t="shared" ca="1" si="18"/>
        <v>-8.7242422861526309E-2</v>
      </c>
    </row>
    <row r="387" spans="2:7" x14ac:dyDescent="0.35">
      <c r="B387" s="94">
        <v>32203</v>
      </c>
      <c r="C387" s="49">
        <v>0.27756500000000001</v>
      </c>
      <c r="D387" s="3">
        <f t="shared" si="17"/>
        <v>0.28935083033329467</v>
      </c>
      <c r="E387" s="3">
        <v>-6.7932638224281708E-2</v>
      </c>
      <c r="F387">
        <v>379</v>
      </c>
      <c r="G387" s="3">
        <f t="shared" ca="1" si="18"/>
        <v>0.15168224228549876</v>
      </c>
    </row>
    <row r="388" spans="2:7" x14ac:dyDescent="0.35">
      <c r="B388" s="94">
        <v>34304</v>
      </c>
      <c r="C388" s="49">
        <v>0.21527499999999999</v>
      </c>
      <c r="D388" s="3">
        <f t="shared" si="17"/>
        <v>0.67753724830122808</v>
      </c>
      <c r="E388" s="3">
        <v>-6.8089730047964508E-2</v>
      </c>
      <c r="F388">
        <v>380</v>
      </c>
      <c r="G388" s="3">
        <f t="shared" ca="1" si="18"/>
        <v>4.4198448586803107E-2</v>
      </c>
    </row>
    <row r="389" spans="2:7" x14ac:dyDescent="0.35">
      <c r="B389" s="94">
        <v>35521</v>
      </c>
      <c r="C389" s="49">
        <v>0.128328</v>
      </c>
      <c r="D389" s="3">
        <f t="shared" si="17"/>
        <v>-0.99494226254216656</v>
      </c>
      <c r="E389" s="3">
        <v>-6.8487184512532384E-2</v>
      </c>
      <c r="F389">
        <v>381</v>
      </c>
      <c r="G389" s="3">
        <f t="shared" ca="1" si="18"/>
        <v>-0.18880005140905326</v>
      </c>
    </row>
    <row r="390" spans="2:7" x14ac:dyDescent="0.35">
      <c r="B390" s="94">
        <v>42217</v>
      </c>
      <c r="C390" s="49">
        <v>25.372610000000002</v>
      </c>
      <c r="D390" s="3">
        <f t="shared" si="17"/>
        <v>19.165559940073834</v>
      </c>
      <c r="E390" s="3">
        <v>-7.0403754991989767E-2</v>
      </c>
      <c r="F390">
        <v>382</v>
      </c>
      <c r="G390" s="3">
        <f t="shared" ca="1" si="18"/>
        <v>0.12266143107845612</v>
      </c>
    </row>
    <row r="391" spans="2:7" x14ac:dyDescent="0.35">
      <c r="B391" s="94">
        <v>38412</v>
      </c>
      <c r="C391" s="49">
        <v>1.2582150000000001</v>
      </c>
      <c r="D391" s="3">
        <f t="shared" si="17"/>
        <v>0.13202887349984574</v>
      </c>
      <c r="E391" s="3">
        <v>-7.1109959425220068E-2</v>
      </c>
      <c r="F391">
        <v>383</v>
      </c>
      <c r="G391" s="3">
        <f t="shared" ca="1" si="18"/>
        <v>2.9905205567082108E-3</v>
      </c>
    </row>
    <row r="392" spans="2:7" x14ac:dyDescent="0.35">
      <c r="B392" s="94">
        <v>38504</v>
      </c>
      <c r="C392" s="49">
        <v>1.111469</v>
      </c>
      <c r="D392" s="3">
        <f t="shared" si="17"/>
        <v>-0.56612427109577068</v>
      </c>
      <c r="E392" s="3">
        <v>-7.4193989048279826E-2</v>
      </c>
      <c r="F392">
        <v>384</v>
      </c>
      <c r="G392" s="3">
        <f t="shared" ca="1" si="18"/>
        <v>6.6363712849168338E-2</v>
      </c>
    </row>
    <row r="393" spans="2:7" x14ac:dyDescent="0.35">
      <c r="B393" s="94">
        <v>39052</v>
      </c>
      <c r="C393" s="49">
        <v>2.5617220000000001</v>
      </c>
      <c r="D393" s="3">
        <f t="shared" ref="D393:D456" si="19">(C393-C394)/C394</f>
        <v>-0.88406506909218119</v>
      </c>
      <c r="E393" s="3">
        <v>-7.4405361949668528E-2</v>
      </c>
      <c r="F393">
        <v>385</v>
      </c>
      <c r="G393" s="3">
        <f t="shared" ca="1" si="18"/>
        <v>-0.14256903361838491</v>
      </c>
    </row>
    <row r="394" spans="2:7" x14ac:dyDescent="0.35">
      <c r="B394" s="94">
        <v>42370</v>
      </c>
      <c r="C394" s="49">
        <v>22.096205000000001</v>
      </c>
      <c r="D394" s="3">
        <f t="shared" si="19"/>
        <v>101.13411449305508</v>
      </c>
      <c r="E394" s="3">
        <v>-7.5242604269446678E-2</v>
      </c>
      <c r="F394">
        <v>386</v>
      </c>
      <c r="G394" s="3">
        <f t="shared" ref="G394:G457" ca="1" si="20">_xlfn.NORM.INV(RAND(),$L$10,$L$11)</f>
        <v>0.10385578472220944</v>
      </c>
    </row>
    <row r="395" spans="2:7" x14ac:dyDescent="0.35">
      <c r="B395" s="94">
        <v>37591</v>
      </c>
      <c r="C395" s="49">
        <v>0.21634500000000001</v>
      </c>
      <c r="D395" s="3">
        <f t="shared" si="19"/>
        <v>-0.94268926159758004</v>
      </c>
      <c r="E395" s="3">
        <v>-7.548822699884615E-2</v>
      </c>
      <c r="F395">
        <v>387</v>
      </c>
      <c r="G395" s="3">
        <f t="shared" ca="1" si="20"/>
        <v>-2.8820754071833779E-2</v>
      </c>
    </row>
    <row r="396" spans="2:7" x14ac:dyDescent="0.35">
      <c r="B396" s="94">
        <v>39479</v>
      </c>
      <c r="C396" s="49">
        <v>3.7749470000000001</v>
      </c>
      <c r="D396" s="3">
        <f t="shared" si="19"/>
        <v>15.986361222855191</v>
      </c>
      <c r="E396" s="3">
        <v>-7.6388513390352505E-2</v>
      </c>
      <c r="F396">
        <v>388</v>
      </c>
      <c r="G396" s="3">
        <f t="shared" ca="1" si="20"/>
        <v>1.2270362403794052E-2</v>
      </c>
    </row>
    <row r="397" spans="2:7" x14ac:dyDescent="0.35">
      <c r="B397" s="94">
        <v>31837</v>
      </c>
      <c r="C397" s="49">
        <v>0.22223399999999999</v>
      </c>
      <c r="D397" s="3">
        <f t="shared" si="19"/>
        <v>-0.91376656354125407</v>
      </c>
      <c r="E397" s="3">
        <v>-7.8570717792225117E-2</v>
      </c>
      <c r="F397">
        <v>389</v>
      </c>
      <c r="G397" s="3">
        <f t="shared" ca="1" si="20"/>
        <v>0.17490014433338333</v>
      </c>
    </row>
    <row r="398" spans="2:7" x14ac:dyDescent="0.35">
      <c r="B398" s="94">
        <v>39783</v>
      </c>
      <c r="C398" s="49">
        <v>2.577121</v>
      </c>
      <c r="D398" s="3">
        <f t="shared" si="19"/>
        <v>-0.98093711551016749</v>
      </c>
      <c r="E398" s="3">
        <v>-7.8989802533534714E-2</v>
      </c>
      <c r="F398">
        <v>390</v>
      </c>
      <c r="G398" s="3">
        <f t="shared" ca="1" si="20"/>
        <v>0.14646496279990973</v>
      </c>
    </row>
    <row r="399" spans="2:7" x14ac:dyDescent="0.35">
      <c r="B399" s="94">
        <v>44713</v>
      </c>
      <c r="C399" s="49">
        <v>135.190506</v>
      </c>
      <c r="D399" s="3">
        <f t="shared" si="19"/>
        <v>0.1375597689958728</v>
      </c>
      <c r="E399" s="3">
        <v>-8.0080017428536307E-2</v>
      </c>
      <c r="F399">
        <v>391</v>
      </c>
      <c r="G399" s="3">
        <f t="shared" ca="1" si="20"/>
        <v>-0.17391950539217138</v>
      </c>
    </row>
    <row r="400" spans="2:7" x14ac:dyDescent="0.35">
      <c r="B400" s="94">
        <v>44228</v>
      </c>
      <c r="C400" s="49">
        <v>118.842552</v>
      </c>
      <c r="D400" s="3">
        <f t="shared" si="19"/>
        <v>378.90957042113951</v>
      </c>
      <c r="E400" s="3">
        <v>-8.1085304953510323E-2</v>
      </c>
      <c r="F400">
        <v>392</v>
      </c>
      <c r="G400" s="3">
        <f t="shared" ca="1" si="20"/>
        <v>-3.7661043048621258E-2</v>
      </c>
    </row>
    <row r="401" spans="2:7" x14ac:dyDescent="0.35">
      <c r="B401" s="94">
        <v>37865</v>
      </c>
      <c r="C401" s="49">
        <v>0.31281799999999998</v>
      </c>
      <c r="D401" s="3">
        <f t="shared" si="19"/>
        <v>-0.83482115983935068</v>
      </c>
      <c r="E401" s="3">
        <v>-8.3591131734983254E-2</v>
      </c>
      <c r="F401">
        <v>393</v>
      </c>
      <c r="G401" s="3">
        <f t="shared" ca="1" si="20"/>
        <v>1.7080781198078356E-3</v>
      </c>
    </row>
    <row r="402" spans="2:7" x14ac:dyDescent="0.35">
      <c r="B402" s="94">
        <v>38777</v>
      </c>
      <c r="C402" s="49">
        <v>1.8938140000000001</v>
      </c>
      <c r="D402" s="3">
        <f t="shared" si="19"/>
        <v>10.307229814851302</v>
      </c>
      <c r="E402" s="3">
        <v>-8.4246034163782263E-2</v>
      </c>
      <c r="F402">
        <v>394</v>
      </c>
      <c r="G402" s="3">
        <f t="shared" ca="1" si="20"/>
        <v>-0.16553952292932572</v>
      </c>
    </row>
    <row r="403" spans="2:7" x14ac:dyDescent="0.35">
      <c r="B403" s="94">
        <v>35309</v>
      </c>
      <c r="C403" s="49">
        <v>0.167487</v>
      </c>
      <c r="D403" s="3">
        <f t="shared" si="19"/>
        <v>-0.31803023701815608</v>
      </c>
      <c r="E403" s="3">
        <v>-8.5050476356961807E-2</v>
      </c>
      <c r="F403">
        <v>395</v>
      </c>
      <c r="G403" s="3">
        <f t="shared" ca="1" si="20"/>
        <v>0.22008051935999967</v>
      </c>
    </row>
    <row r="404" spans="2:7" x14ac:dyDescent="0.35">
      <c r="B404" s="94">
        <v>34394</v>
      </c>
      <c r="C404" s="49">
        <v>0.24559300000000001</v>
      </c>
      <c r="D404" s="3">
        <f t="shared" si="19"/>
        <v>-0.22203391978104831</v>
      </c>
      <c r="E404" s="3">
        <v>-8.5767571370606005E-2</v>
      </c>
      <c r="F404">
        <v>396</v>
      </c>
      <c r="G404" s="3">
        <f t="shared" ca="1" si="20"/>
        <v>3.0063069042563381E-2</v>
      </c>
    </row>
    <row r="405" spans="2:7" x14ac:dyDescent="0.35">
      <c r="B405" s="94">
        <v>37926</v>
      </c>
      <c r="C405" s="49">
        <v>0.31568600000000002</v>
      </c>
      <c r="D405" s="3">
        <f t="shared" si="19"/>
        <v>-0.66291194211694704</v>
      </c>
      <c r="E405" s="3">
        <v>-8.6501205223697045E-2</v>
      </c>
      <c r="F405">
        <v>397</v>
      </c>
      <c r="G405" s="3">
        <f t="shared" ca="1" si="20"/>
        <v>6.901346356787369E-2</v>
      </c>
    </row>
    <row r="406" spans="2:7" x14ac:dyDescent="0.35">
      <c r="B406" s="94">
        <v>36617</v>
      </c>
      <c r="C406" s="49">
        <v>0.93650900000000004</v>
      </c>
      <c r="D406" s="3">
        <f t="shared" si="19"/>
        <v>-0.94223158625604864</v>
      </c>
      <c r="E406" s="3">
        <v>-8.6517161899986969E-2</v>
      </c>
      <c r="F406">
        <v>398</v>
      </c>
      <c r="G406" s="3">
        <f t="shared" ca="1" si="20"/>
        <v>3.7036805023513988E-2</v>
      </c>
    </row>
    <row r="407" spans="2:7" x14ac:dyDescent="0.35">
      <c r="B407" s="94">
        <v>41244</v>
      </c>
      <c r="C407" s="49">
        <v>16.211437</v>
      </c>
      <c r="D407" s="3">
        <f t="shared" si="19"/>
        <v>-0.90493806328513782</v>
      </c>
      <c r="E407" s="3">
        <v>-8.6589602547315778E-2</v>
      </c>
      <c r="F407">
        <v>399</v>
      </c>
      <c r="G407" s="3">
        <f t="shared" ca="1" si="20"/>
        <v>-0.17185986414958485</v>
      </c>
    </row>
    <row r="408" spans="2:7" x14ac:dyDescent="0.35">
      <c r="B408" s="94">
        <v>45170</v>
      </c>
      <c r="C408" s="49">
        <v>170.53552199999999</v>
      </c>
      <c r="D408" s="3">
        <f t="shared" si="19"/>
        <v>28.406727237079725</v>
      </c>
      <c r="E408" s="3">
        <v>-8.7447702983108264E-2</v>
      </c>
      <c r="F408">
        <v>400</v>
      </c>
      <c r="G408" s="3">
        <f t="shared" ca="1" si="20"/>
        <v>0.22535903949143885</v>
      </c>
    </row>
    <row r="409" spans="2:7" x14ac:dyDescent="0.35">
      <c r="B409" s="94">
        <v>40179</v>
      </c>
      <c r="C409" s="49">
        <v>5.7992010000000001</v>
      </c>
      <c r="D409" s="3">
        <f t="shared" si="19"/>
        <v>28.511271805728015</v>
      </c>
      <c r="E409" s="3">
        <v>-8.8596965741297454E-2</v>
      </c>
      <c r="F409">
        <v>401</v>
      </c>
      <c r="G409" s="3">
        <f t="shared" ca="1" si="20"/>
        <v>-3.9128243562083199E-2</v>
      </c>
    </row>
    <row r="410" spans="2:7" x14ac:dyDescent="0.35">
      <c r="B410" s="94">
        <v>34486</v>
      </c>
      <c r="C410" s="49">
        <v>0.19650799999999999</v>
      </c>
      <c r="D410" s="3">
        <f t="shared" si="19"/>
        <v>-0.90497853521066829</v>
      </c>
      <c r="E410" s="3">
        <v>-9.0442864548618843E-2</v>
      </c>
      <c r="F410">
        <v>402</v>
      </c>
      <c r="G410" s="3">
        <f t="shared" ca="1" si="20"/>
        <v>1.2840153262990537E-2</v>
      </c>
    </row>
    <row r="411" spans="2:7" x14ac:dyDescent="0.35">
      <c r="B411" s="94">
        <v>38749</v>
      </c>
      <c r="C411" s="49">
        <v>2.068038</v>
      </c>
      <c r="D411" s="3">
        <f t="shared" si="19"/>
        <v>16.916880371499861</v>
      </c>
      <c r="E411" s="3">
        <v>-9.2967778579432947E-2</v>
      </c>
      <c r="F411">
        <v>403</v>
      </c>
      <c r="G411" s="3">
        <f t="shared" ca="1" si="20"/>
        <v>7.8841772728759862E-2</v>
      </c>
    </row>
    <row r="412" spans="2:7" x14ac:dyDescent="0.35">
      <c r="B412" s="94">
        <v>31656</v>
      </c>
      <c r="C412" s="49">
        <v>0.115424</v>
      </c>
      <c r="D412" s="3">
        <f t="shared" si="19"/>
        <v>-0.99925847519760991</v>
      </c>
      <c r="E412" s="3">
        <v>-9.4600106680053878E-2</v>
      </c>
      <c r="F412">
        <v>404</v>
      </c>
      <c r="G412" s="3">
        <f t="shared" ca="1" si="20"/>
        <v>-5.1358017717893618E-2</v>
      </c>
    </row>
    <row r="413" spans="2:7" x14ac:dyDescent="0.35">
      <c r="B413" s="94">
        <v>44652</v>
      </c>
      <c r="C413" s="49">
        <v>155.65763899999999</v>
      </c>
      <c r="D413" s="3">
        <f t="shared" si="19"/>
        <v>701.46737850144632</v>
      </c>
      <c r="E413" s="3">
        <v>-9.713084991634742E-2</v>
      </c>
      <c r="F413">
        <v>405</v>
      </c>
      <c r="G413" s="3">
        <f t="shared" ca="1" si="20"/>
        <v>8.0888232086231884E-3</v>
      </c>
    </row>
    <row r="414" spans="2:7" x14ac:dyDescent="0.35">
      <c r="B414" s="94">
        <v>34425</v>
      </c>
      <c r="C414" s="49">
        <v>0.22158700000000001</v>
      </c>
      <c r="D414" s="3">
        <f t="shared" si="19"/>
        <v>-1.3296344618453637E-2</v>
      </c>
      <c r="E414" s="3">
        <v>-9.7747085625404628E-2</v>
      </c>
      <c r="F414">
        <v>406</v>
      </c>
      <c r="G414" s="3">
        <f t="shared" ca="1" si="20"/>
        <v>0.21228766227361057</v>
      </c>
    </row>
    <row r="415" spans="2:7" x14ac:dyDescent="0.35">
      <c r="B415" s="94">
        <v>36861</v>
      </c>
      <c r="C415" s="49">
        <v>0.22457299999999999</v>
      </c>
      <c r="D415" s="3">
        <f t="shared" si="19"/>
        <v>-4.6095359456302436E-2</v>
      </c>
      <c r="E415" s="3">
        <v>-9.8487798415941741E-2</v>
      </c>
      <c r="F415">
        <v>407</v>
      </c>
      <c r="G415" s="3">
        <f t="shared" ca="1" si="20"/>
        <v>-0.14160316131673606</v>
      </c>
    </row>
    <row r="416" spans="2:7" x14ac:dyDescent="0.35">
      <c r="B416" s="94">
        <v>36008</v>
      </c>
      <c r="C416" s="49">
        <v>0.235425</v>
      </c>
      <c r="D416" s="3">
        <f t="shared" si="19"/>
        <v>-0.99792221443356011</v>
      </c>
      <c r="E416" s="3">
        <v>-9.9275747686256896E-2</v>
      </c>
      <c r="F416">
        <v>408</v>
      </c>
      <c r="G416" s="3">
        <f t="shared" ca="1" si="20"/>
        <v>0.15214096403294222</v>
      </c>
    </row>
    <row r="417" spans="2:7" x14ac:dyDescent="0.35">
      <c r="B417" s="94">
        <v>44075</v>
      </c>
      <c r="C417" s="49">
        <v>113.305725</v>
      </c>
      <c r="D417" s="3">
        <f t="shared" si="19"/>
        <v>407.68446680733643</v>
      </c>
      <c r="E417" s="3">
        <v>-0.1009081099291485</v>
      </c>
      <c r="F417">
        <v>409</v>
      </c>
      <c r="G417" s="3">
        <f t="shared" ca="1" si="20"/>
        <v>-0.11659061946085333</v>
      </c>
    </row>
    <row r="418" spans="2:7" x14ac:dyDescent="0.35">
      <c r="B418" s="94">
        <v>32356</v>
      </c>
      <c r="C418" s="49">
        <v>0.27724500000000002</v>
      </c>
      <c r="D418" s="3">
        <f t="shared" si="19"/>
        <v>5.0922819745954494E-2</v>
      </c>
      <c r="E418" s="3">
        <v>-0.10140892546340256</v>
      </c>
      <c r="F418">
        <v>410</v>
      </c>
      <c r="G418" s="3">
        <f t="shared" ca="1" si="20"/>
        <v>0.23351450348188046</v>
      </c>
    </row>
    <row r="419" spans="2:7" x14ac:dyDescent="0.35">
      <c r="B419" s="94">
        <v>34759</v>
      </c>
      <c r="C419" s="49">
        <v>0.26381100000000002</v>
      </c>
      <c r="D419" s="3">
        <f t="shared" si="19"/>
        <v>2.460678726502342</v>
      </c>
      <c r="E419" s="3">
        <v>-0.10514300833084582</v>
      </c>
      <c r="F419">
        <v>411</v>
      </c>
      <c r="G419" s="3">
        <f t="shared" ca="1" si="20"/>
        <v>0.26839198221115279</v>
      </c>
    </row>
    <row r="420" spans="2:7" x14ac:dyDescent="0.35">
      <c r="B420" s="94">
        <v>31107</v>
      </c>
      <c r="C420" s="49">
        <v>7.6230999999999993E-2</v>
      </c>
      <c r="D420" s="3">
        <f t="shared" si="19"/>
        <v>-0.99680962495442382</v>
      </c>
      <c r="E420" s="3">
        <v>-0.10606735775599244</v>
      </c>
      <c r="F420">
        <v>412</v>
      </c>
      <c r="G420" s="3">
        <f t="shared" ca="1" si="20"/>
        <v>0.17636390986756123</v>
      </c>
    </row>
    <row r="421" spans="2:7" x14ac:dyDescent="0.35">
      <c r="B421" s="94">
        <v>42339</v>
      </c>
      <c r="C421" s="49">
        <v>23.894055999999999</v>
      </c>
      <c r="D421" s="3">
        <f t="shared" si="19"/>
        <v>127.86797724024485</v>
      </c>
      <c r="E421" s="3">
        <v>-0.10641948992730989</v>
      </c>
      <c r="F421">
        <v>413</v>
      </c>
      <c r="G421" s="3">
        <f t="shared" ca="1" si="20"/>
        <v>0.15899406033665939</v>
      </c>
    </row>
    <row r="422" spans="2:7" x14ac:dyDescent="0.35">
      <c r="B422" s="94">
        <v>35125</v>
      </c>
      <c r="C422" s="49">
        <v>0.185415</v>
      </c>
      <c r="D422" s="3">
        <f t="shared" si="19"/>
        <v>-0.31087861443544196</v>
      </c>
      <c r="E422" s="3">
        <v>-0.10681683518876241</v>
      </c>
      <c r="F422">
        <v>414</v>
      </c>
      <c r="G422" s="3">
        <f t="shared" ca="1" si="20"/>
        <v>0.10975343095760992</v>
      </c>
    </row>
    <row r="423" spans="2:7" x14ac:dyDescent="0.35">
      <c r="B423" s="94">
        <v>32417</v>
      </c>
      <c r="C423" s="49">
        <v>0.26906000000000002</v>
      </c>
      <c r="D423" s="3">
        <f t="shared" si="19"/>
        <v>-0.98509586896994372</v>
      </c>
      <c r="E423" s="3">
        <v>-0.10693777839736048</v>
      </c>
      <c r="F423">
        <v>415</v>
      </c>
      <c r="G423" s="3">
        <f t="shared" ca="1" si="20"/>
        <v>1.673311355580908E-2</v>
      </c>
    </row>
    <row r="424" spans="2:7" x14ac:dyDescent="0.35">
      <c r="B424" s="94">
        <v>41183</v>
      </c>
      <c r="C424" s="49">
        <v>18.052713000000001</v>
      </c>
      <c r="D424" s="3">
        <f t="shared" si="19"/>
        <v>0.15479641855814799</v>
      </c>
      <c r="E424" s="3">
        <v>-0.10759995541141984</v>
      </c>
      <c r="F424">
        <v>416</v>
      </c>
      <c r="G424" s="3">
        <f t="shared" ca="1" si="20"/>
        <v>2.307501159183311E-2</v>
      </c>
    </row>
    <row r="425" spans="2:7" x14ac:dyDescent="0.35">
      <c r="B425" s="94">
        <v>41640</v>
      </c>
      <c r="C425" s="49">
        <v>15.632809999999999</v>
      </c>
      <c r="D425" s="3">
        <f t="shared" si="19"/>
        <v>39.570769382490482</v>
      </c>
      <c r="E425" s="3">
        <v>-0.10769702152803429</v>
      </c>
      <c r="F425">
        <v>417</v>
      </c>
      <c r="G425" s="3">
        <f t="shared" ca="1" si="20"/>
        <v>8.6087993359783843E-3</v>
      </c>
    </row>
    <row r="426" spans="2:7" x14ac:dyDescent="0.35">
      <c r="B426" s="94">
        <v>34001</v>
      </c>
      <c r="C426" s="49">
        <v>0.385322</v>
      </c>
      <c r="D426" s="3">
        <f t="shared" si="19"/>
        <v>-0.96849439439920693</v>
      </c>
      <c r="E426" s="3">
        <v>-0.10924478534556692</v>
      </c>
      <c r="F426">
        <v>418</v>
      </c>
      <c r="G426" s="3">
        <f t="shared" ca="1" si="20"/>
        <v>9.1857751144402727E-2</v>
      </c>
    </row>
    <row r="427" spans="2:7" x14ac:dyDescent="0.35">
      <c r="B427" s="94">
        <v>41426</v>
      </c>
      <c r="C427" s="49">
        <v>12.230268000000001</v>
      </c>
      <c r="D427" s="3">
        <f t="shared" si="19"/>
        <v>1.4190526184830163</v>
      </c>
      <c r="E427" s="3">
        <v>-0.11245706342062864</v>
      </c>
      <c r="F427">
        <v>419</v>
      </c>
      <c r="G427" s="3">
        <f t="shared" ca="1" si="20"/>
        <v>0.11636729965523165</v>
      </c>
    </row>
    <row r="428" spans="2:7" x14ac:dyDescent="0.35">
      <c r="B428" s="94">
        <v>39600</v>
      </c>
      <c r="C428" s="49">
        <v>5.055809</v>
      </c>
      <c r="D428" s="3">
        <f t="shared" si="19"/>
        <v>-0.86607377526383478</v>
      </c>
      <c r="E428" s="3">
        <v>-0.11290033069222886</v>
      </c>
      <c r="F428">
        <v>420</v>
      </c>
      <c r="G428" s="3">
        <f t="shared" ca="1" si="20"/>
        <v>9.4536326827012268E-2</v>
      </c>
    </row>
    <row r="429" spans="2:7" x14ac:dyDescent="0.35">
      <c r="B429" s="94">
        <v>43435</v>
      </c>
      <c r="C429" s="49">
        <v>37.750701999999997</v>
      </c>
      <c r="D429" s="3">
        <f t="shared" si="19"/>
        <v>219.22472421376861</v>
      </c>
      <c r="E429" s="3">
        <v>-0.11361655939161099</v>
      </c>
      <c r="F429">
        <v>421</v>
      </c>
      <c r="G429" s="3">
        <f t="shared" ca="1" si="20"/>
        <v>0.11721666613611048</v>
      </c>
    </row>
    <row r="430" spans="2:7" x14ac:dyDescent="0.35">
      <c r="B430" s="94">
        <v>34213</v>
      </c>
      <c r="C430" s="49">
        <v>0.17141899999999999</v>
      </c>
      <c r="D430" s="3">
        <f t="shared" si="19"/>
        <v>-0.42421779218380001</v>
      </c>
      <c r="E430" s="3">
        <v>-0.1140450164095408</v>
      </c>
      <c r="F430">
        <v>422</v>
      </c>
      <c r="G430" s="3">
        <f t="shared" ca="1" si="20"/>
        <v>1.0689818868871999E-2</v>
      </c>
    </row>
    <row r="431" spans="2:7" x14ac:dyDescent="0.35">
      <c r="B431" s="94">
        <v>33390</v>
      </c>
      <c r="C431" s="49">
        <v>0.29771500000000001</v>
      </c>
      <c r="D431" s="3">
        <f t="shared" si="19"/>
        <v>-0.99551661760192967</v>
      </c>
      <c r="E431" s="3">
        <v>-0.11476282369592436</v>
      </c>
      <c r="F431">
        <v>423</v>
      </c>
      <c r="G431" s="3">
        <f t="shared" ca="1" si="20"/>
        <v>3.3487464856211721E-2</v>
      </c>
    </row>
    <row r="432" spans="2:7" x14ac:dyDescent="0.35">
      <c r="B432" s="94">
        <v>43862</v>
      </c>
      <c r="C432" s="49">
        <v>66.404105999999999</v>
      </c>
      <c r="D432" s="3">
        <f t="shared" si="19"/>
        <v>1213.0134191378113</v>
      </c>
      <c r="E432" s="3">
        <v>-0.11679728147860056</v>
      </c>
      <c r="F432">
        <v>424</v>
      </c>
      <c r="G432" s="3">
        <f t="shared" ca="1" si="20"/>
        <v>5.9554660049816799E-2</v>
      </c>
    </row>
    <row r="433" spans="2:7" x14ac:dyDescent="0.35">
      <c r="B433" s="94">
        <v>31229</v>
      </c>
      <c r="C433" s="49">
        <v>5.4697999999999997E-2</v>
      </c>
      <c r="D433" s="3">
        <f t="shared" si="19"/>
        <v>-0.79164650985620422</v>
      </c>
      <c r="E433" s="3">
        <v>-0.11804447024299007</v>
      </c>
      <c r="F433">
        <v>425</v>
      </c>
      <c r="G433" s="3">
        <f t="shared" ca="1" si="20"/>
        <v>-0.15681127090202354</v>
      </c>
    </row>
    <row r="434" spans="2:7" x14ac:dyDescent="0.35">
      <c r="B434" s="94">
        <v>33086</v>
      </c>
      <c r="C434" s="49">
        <v>0.26252500000000001</v>
      </c>
      <c r="D434" s="3">
        <f t="shared" si="19"/>
        <v>-0.99808157113496221</v>
      </c>
      <c r="E434" s="3">
        <v>-0.11904953658029135</v>
      </c>
      <c r="F434">
        <v>426</v>
      </c>
      <c r="G434" s="3">
        <f t="shared" ca="1" si="20"/>
        <v>0.21769003699715661</v>
      </c>
    </row>
    <row r="435" spans="2:7" x14ac:dyDescent="0.35">
      <c r="B435" s="94">
        <v>44805</v>
      </c>
      <c r="C435" s="49">
        <v>136.84375</v>
      </c>
      <c r="D435" s="3">
        <f t="shared" si="19"/>
        <v>6.1887990229284158E-2</v>
      </c>
      <c r="E435" s="3">
        <v>-0.11975597041604305</v>
      </c>
      <c r="F435">
        <v>427</v>
      </c>
      <c r="G435" s="3">
        <f t="shared" ca="1" si="20"/>
        <v>4.3846201682757963E-2</v>
      </c>
    </row>
    <row r="436" spans="2:7" x14ac:dyDescent="0.35">
      <c r="B436" s="94">
        <v>44896</v>
      </c>
      <c r="C436" s="49">
        <v>128.868347</v>
      </c>
      <c r="D436" s="3">
        <f t="shared" si="19"/>
        <v>392.35541324672704</v>
      </c>
      <c r="E436" s="3">
        <v>-0.12081639306652184</v>
      </c>
      <c r="F436">
        <v>428</v>
      </c>
      <c r="G436" s="3">
        <f t="shared" ca="1" si="20"/>
        <v>-9.272519682686145E-2</v>
      </c>
    </row>
    <row r="437" spans="2:7" x14ac:dyDescent="0.35">
      <c r="B437" s="94">
        <v>37288</v>
      </c>
      <c r="C437" s="49">
        <v>0.32761299999999999</v>
      </c>
      <c r="D437" s="3">
        <f t="shared" si="19"/>
        <v>-0.99221412160180156</v>
      </c>
      <c r="E437" s="3">
        <v>-0.12216812653567598</v>
      </c>
      <c r="F437">
        <v>429</v>
      </c>
      <c r="G437" s="3">
        <f t="shared" ca="1" si="20"/>
        <v>0.11382480260702268</v>
      </c>
    </row>
    <row r="438" spans="2:7" x14ac:dyDescent="0.35">
      <c r="B438" s="94">
        <v>43586</v>
      </c>
      <c r="C438" s="49">
        <v>42.077846999999998</v>
      </c>
      <c r="D438" s="3">
        <f t="shared" si="19"/>
        <v>389.7965580652351</v>
      </c>
      <c r="E438" s="3">
        <v>-0.12757263650796893</v>
      </c>
      <c r="F438">
        <v>430</v>
      </c>
      <c r="G438" s="3">
        <f t="shared" ca="1" si="20"/>
        <v>5.6481781522138924E-2</v>
      </c>
    </row>
    <row r="439" spans="2:7" x14ac:dyDescent="0.35">
      <c r="B439" s="94">
        <v>31594</v>
      </c>
      <c r="C439" s="49">
        <v>0.107672</v>
      </c>
      <c r="D439" s="3">
        <f t="shared" si="19"/>
        <v>-0.61588926743128269</v>
      </c>
      <c r="E439" s="3">
        <v>-0.12891664711545456</v>
      </c>
      <c r="F439">
        <v>431</v>
      </c>
      <c r="G439" s="3">
        <f t="shared" ca="1" si="20"/>
        <v>2.4507864343623391E-2</v>
      </c>
    </row>
    <row r="440" spans="2:7" x14ac:dyDescent="0.35">
      <c r="B440" s="94">
        <v>34943</v>
      </c>
      <c r="C440" s="49">
        <v>0.28031499999999998</v>
      </c>
      <c r="D440" s="3">
        <f t="shared" si="19"/>
        <v>0.34422369600974417</v>
      </c>
      <c r="E440" s="3">
        <v>-0.13135836135169904</v>
      </c>
      <c r="F440">
        <v>432</v>
      </c>
      <c r="G440" s="3">
        <f t="shared" ca="1" si="20"/>
        <v>-0.11057568441353849</v>
      </c>
    </row>
    <row r="441" spans="2:7" x14ac:dyDescent="0.35">
      <c r="B441" s="94">
        <v>35065</v>
      </c>
      <c r="C441" s="49">
        <v>0.208533</v>
      </c>
      <c r="D441" s="3">
        <f t="shared" si="19"/>
        <v>-0.27975836867772824</v>
      </c>
      <c r="E441" s="3">
        <v>-0.1333297314370735</v>
      </c>
      <c r="F441">
        <v>433</v>
      </c>
      <c r="G441" s="3">
        <f t="shared" ca="1" si="20"/>
        <v>0.10764961244408366</v>
      </c>
    </row>
    <row r="442" spans="2:7" x14ac:dyDescent="0.35">
      <c r="B442" s="94">
        <v>32660</v>
      </c>
      <c r="C442" s="49">
        <v>0.28953200000000001</v>
      </c>
      <c r="D442" s="3">
        <f t="shared" si="19"/>
        <v>-0.73408693064614783</v>
      </c>
      <c r="E442" s="3">
        <v>-0.13423159959572034</v>
      </c>
      <c r="F442">
        <v>434</v>
      </c>
      <c r="G442" s="3">
        <f t="shared" ca="1" si="20"/>
        <v>1.7269705191446671E-2</v>
      </c>
    </row>
    <row r="443" spans="2:7" x14ac:dyDescent="0.35">
      <c r="B443" s="94">
        <v>38443</v>
      </c>
      <c r="C443" s="49">
        <v>1.088822</v>
      </c>
      <c r="D443" s="3">
        <f t="shared" si="19"/>
        <v>5.9096897429225974</v>
      </c>
      <c r="E443" s="3">
        <v>-0.13462961417563779</v>
      </c>
      <c r="F443">
        <v>435</v>
      </c>
      <c r="G443" s="3">
        <f t="shared" ca="1" si="20"/>
        <v>0.1523698253709925</v>
      </c>
    </row>
    <row r="444" spans="2:7" x14ac:dyDescent="0.35">
      <c r="B444" s="94">
        <v>35400</v>
      </c>
      <c r="C444" s="49">
        <v>0.157579</v>
      </c>
      <c r="D444" s="3">
        <f t="shared" si="19"/>
        <v>-0.62535870265541005</v>
      </c>
      <c r="E444" s="3">
        <v>-0.13471380249516782</v>
      </c>
      <c r="F444">
        <v>436</v>
      </c>
      <c r="G444" s="3">
        <f t="shared" ca="1" si="20"/>
        <v>-0.23179146720355942</v>
      </c>
    </row>
    <row r="445" spans="2:7" x14ac:dyDescent="0.35">
      <c r="B445" s="94">
        <v>33664</v>
      </c>
      <c r="C445" s="49">
        <v>0.42061300000000001</v>
      </c>
      <c r="D445" s="3">
        <f t="shared" si="19"/>
        <v>0.51746692594369748</v>
      </c>
      <c r="E445" s="3">
        <v>-0.13542351838452932</v>
      </c>
      <c r="F445">
        <v>437</v>
      </c>
      <c r="G445" s="3">
        <f t="shared" ca="1" si="20"/>
        <v>-4.1704012207696699E-2</v>
      </c>
    </row>
    <row r="446" spans="2:7" x14ac:dyDescent="0.35">
      <c r="B446" s="94">
        <v>34639</v>
      </c>
      <c r="C446" s="49">
        <v>0.27718100000000001</v>
      </c>
      <c r="D446" s="3">
        <f t="shared" si="19"/>
        <v>-0.90094119463387534</v>
      </c>
      <c r="E446" s="3">
        <v>-0.13748315767527686</v>
      </c>
      <c r="F446">
        <v>438</v>
      </c>
      <c r="G446" s="3">
        <f t="shared" ca="1" si="20"/>
        <v>-1.7558132594994655E-3</v>
      </c>
    </row>
    <row r="447" spans="2:7" x14ac:dyDescent="0.35">
      <c r="B447" s="94">
        <v>39753</v>
      </c>
      <c r="C447" s="49">
        <v>2.798146</v>
      </c>
      <c r="D447" s="3">
        <f t="shared" si="19"/>
        <v>11.145468908701048</v>
      </c>
      <c r="E447" s="3">
        <v>-0.1386747487881127</v>
      </c>
      <c r="F447">
        <v>439</v>
      </c>
      <c r="G447" s="3">
        <f t="shared" ca="1" si="20"/>
        <v>0.12733301031788419</v>
      </c>
    </row>
    <row r="448" spans="2:7" x14ac:dyDescent="0.35">
      <c r="B448" s="94">
        <v>37438</v>
      </c>
      <c r="C448" s="49">
        <v>0.23038600000000001</v>
      </c>
      <c r="D448" s="3">
        <f t="shared" si="19"/>
        <v>-4.4382502509477895E-2</v>
      </c>
      <c r="E448" s="3">
        <v>-0.13882762796887024</v>
      </c>
      <c r="F448">
        <v>440</v>
      </c>
      <c r="G448" s="3">
        <f t="shared" ca="1" si="20"/>
        <v>-0.13814971495005154</v>
      </c>
    </row>
    <row r="449" spans="2:7" x14ac:dyDescent="0.35">
      <c r="B449" s="94">
        <v>36100</v>
      </c>
      <c r="C449" s="49">
        <v>0.24108599999999999</v>
      </c>
      <c r="D449" s="3">
        <f t="shared" si="19"/>
        <v>-0.98873138502265023</v>
      </c>
      <c r="E449" s="3">
        <v>-0.13973130653535307</v>
      </c>
      <c r="F449">
        <v>441</v>
      </c>
      <c r="G449" s="3">
        <f t="shared" ca="1" si="20"/>
        <v>5.3472896021085063E-2</v>
      </c>
    </row>
    <row r="450" spans="2:7" x14ac:dyDescent="0.35">
      <c r="B450" s="94">
        <v>42461</v>
      </c>
      <c r="C450" s="49">
        <v>21.394466000000001</v>
      </c>
      <c r="D450" s="3">
        <f t="shared" si="19"/>
        <v>197.89062834087889</v>
      </c>
      <c r="E450" s="3">
        <v>-0.13992131058439769</v>
      </c>
      <c r="F450">
        <v>442</v>
      </c>
      <c r="G450" s="3">
        <f t="shared" ca="1" si="20"/>
        <v>-8.5262765186338657E-2</v>
      </c>
    </row>
    <row r="451" spans="2:7" x14ac:dyDescent="0.35">
      <c r="B451" s="94">
        <v>35582</v>
      </c>
      <c r="C451" s="49">
        <v>0.107569</v>
      </c>
      <c r="D451" s="3">
        <f t="shared" si="19"/>
        <v>-0.99224757987762346</v>
      </c>
      <c r="E451" s="3">
        <v>-0.14285600452600461</v>
      </c>
      <c r="F451">
        <v>443</v>
      </c>
      <c r="G451" s="3">
        <f t="shared" ca="1" si="20"/>
        <v>0.13077576221926607</v>
      </c>
    </row>
    <row r="452" spans="2:7" x14ac:dyDescent="0.35">
      <c r="B452" s="94">
        <v>41275</v>
      </c>
      <c r="C452" s="49">
        <v>13.875538000000001</v>
      </c>
      <c r="D452" s="3">
        <f t="shared" si="19"/>
        <v>40.258055787648928</v>
      </c>
      <c r="E452" s="3">
        <v>-0.14408957083816812</v>
      </c>
      <c r="F452">
        <v>444</v>
      </c>
      <c r="G452" s="3">
        <f t="shared" ca="1" si="20"/>
        <v>0.20856593339121429</v>
      </c>
    </row>
    <row r="453" spans="2:7" x14ac:dyDescent="0.35">
      <c r="B453" s="94">
        <v>33359</v>
      </c>
      <c r="C453" s="49">
        <v>0.33631100000000003</v>
      </c>
      <c r="D453" s="3">
        <f t="shared" si="19"/>
        <v>0.47477010914608225</v>
      </c>
      <c r="E453" s="3">
        <v>-0.14545362147603247</v>
      </c>
      <c r="F453">
        <v>445</v>
      </c>
      <c r="G453" s="3">
        <f t="shared" ca="1" si="20"/>
        <v>1.2722569806332623E-2</v>
      </c>
    </row>
    <row r="454" spans="2:7" x14ac:dyDescent="0.35">
      <c r="B454" s="94">
        <v>32082</v>
      </c>
      <c r="C454" s="49">
        <v>0.228043</v>
      </c>
      <c r="D454" s="3">
        <f t="shared" si="19"/>
        <v>1.6741756179933389</v>
      </c>
      <c r="E454" s="3">
        <v>-0.14563117708325524</v>
      </c>
      <c r="F454">
        <v>446</v>
      </c>
      <c r="G454" s="3">
        <f t="shared" ca="1" si="20"/>
        <v>9.1410854888584386E-2</v>
      </c>
    </row>
    <row r="455" spans="2:7" x14ac:dyDescent="0.35">
      <c r="B455" s="94">
        <v>31079</v>
      </c>
      <c r="C455" s="49">
        <v>8.5276000000000005E-2</v>
      </c>
      <c r="D455" s="3">
        <f t="shared" si="19"/>
        <v>-0.95274887241375494</v>
      </c>
      <c r="E455" s="3">
        <v>-0.14654870445060489</v>
      </c>
      <c r="F455">
        <v>447</v>
      </c>
      <c r="G455" s="3">
        <f t="shared" ca="1" si="20"/>
        <v>-7.3457535696382803E-2</v>
      </c>
    </row>
    <row r="456" spans="2:7" x14ac:dyDescent="0.35">
      <c r="B456" s="94">
        <v>38838</v>
      </c>
      <c r="C456" s="49">
        <v>1.80474</v>
      </c>
      <c r="D456" s="3">
        <f t="shared" si="19"/>
        <v>5.8676390564293026</v>
      </c>
      <c r="E456" s="3">
        <v>-0.15087322098779199</v>
      </c>
      <c r="F456">
        <v>448</v>
      </c>
      <c r="G456" s="3">
        <f t="shared" ca="1" si="20"/>
        <v>-0.13574209889029001</v>
      </c>
    </row>
    <row r="457" spans="2:7" x14ac:dyDescent="0.35">
      <c r="B457" s="94">
        <v>36192</v>
      </c>
      <c r="C457" s="49">
        <v>0.26278899999999999</v>
      </c>
      <c r="D457" s="3">
        <f t="shared" ref="D457:D482" si="21">(C457-C458)/C458</f>
        <v>-4.6231403818863578E-2</v>
      </c>
      <c r="E457" s="3">
        <v>-0.15478013071222732</v>
      </c>
      <c r="F457">
        <v>449</v>
      </c>
      <c r="G457" s="3">
        <f t="shared" ca="1" si="20"/>
        <v>9.7529153984852485E-2</v>
      </c>
    </row>
    <row r="458" spans="2:7" x14ac:dyDescent="0.35">
      <c r="B458" s="94">
        <v>36923</v>
      </c>
      <c r="C458" s="49">
        <v>0.27552700000000002</v>
      </c>
      <c r="D458" s="3">
        <f t="shared" si="21"/>
        <v>0.10605884218428237</v>
      </c>
      <c r="E458" s="3">
        <v>-0.15607033793697028</v>
      </c>
      <c r="F458">
        <v>450</v>
      </c>
      <c r="G458" s="3">
        <f t="shared" ref="G458:G482" ca="1" si="22">_xlfn.NORM.INV(RAND(),$L$10,$L$11)</f>
        <v>7.7187363946389614E-2</v>
      </c>
    </row>
    <row r="459" spans="2:7" x14ac:dyDescent="0.35">
      <c r="B459" s="94">
        <v>36831</v>
      </c>
      <c r="C459" s="49">
        <v>0.249107</v>
      </c>
      <c r="D459" s="3">
        <f t="shared" si="21"/>
        <v>3.5297198001778787E-2</v>
      </c>
      <c r="E459" s="3">
        <v>-0.15654732479633779</v>
      </c>
      <c r="F459">
        <v>451</v>
      </c>
      <c r="G459" s="3">
        <f t="shared" ca="1" si="22"/>
        <v>6.6319292853999734E-2</v>
      </c>
    </row>
    <row r="460" spans="2:7" x14ac:dyDescent="0.35">
      <c r="B460" s="94">
        <v>35034</v>
      </c>
      <c r="C460" s="49">
        <v>0.24061399999999999</v>
      </c>
      <c r="D460" s="3">
        <f t="shared" si="21"/>
        <v>2.7562350529552387E-2</v>
      </c>
      <c r="E460" s="3">
        <v>-0.16133147438131751</v>
      </c>
      <c r="F460">
        <v>452</v>
      </c>
      <c r="G460" s="3">
        <f t="shared" ca="1" si="22"/>
        <v>7.5139440205390789E-2</v>
      </c>
    </row>
    <row r="461" spans="2:7" x14ac:dyDescent="0.35">
      <c r="B461" s="94">
        <v>37135</v>
      </c>
      <c r="C461" s="49">
        <v>0.23416000000000001</v>
      </c>
      <c r="D461" s="3">
        <f t="shared" si="21"/>
        <v>2.9114674684707258</v>
      </c>
      <c r="E461" s="3">
        <v>-0.16388150941240329</v>
      </c>
      <c r="F461">
        <v>453</v>
      </c>
      <c r="G461" s="3">
        <f t="shared" ca="1" si="22"/>
        <v>0.12536931570142992</v>
      </c>
    </row>
    <row r="462" spans="2:7" x14ac:dyDescent="0.35">
      <c r="B462" s="94">
        <v>31168</v>
      </c>
      <c r="C462" s="49">
        <v>5.9865000000000002E-2</v>
      </c>
      <c r="D462" s="3">
        <f t="shared" si="21"/>
        <v>-0.99859437462455602</v>
      </c>
      <c r="E462" s="3">
        <v>-0.18236201974951174</v>
      </c>
      <c r="F462">
        <v>454</v>
      </c>
      <c r="G462" s="3">
        <f t="shared" ca="1" si="22"/>
        <v>-0.10091388401696397</v>
      </c>
    </row>
    <row r="463" spans="2:7" x14ac:dyDescent="0.35">
      <c r="B463" s="94">
        <v>43405</v>
      </c>
      <c r="C463" s="49">
        <v>42.589584000000002</v>
      </c>
      <c r="D463" s="3">
        <f t="shared" si="21"/>
        <v>107.21761634333194</v>
      </c>
      <c r="E463" s="3">
        <v>-0.18404451378569203</v>
      </c>
      <c r="F463">
        <v>455</v>
      </c>
      <c r="G463" s="3">
        <f t="shared" ca="1" si="22"/>
        <v>0.12539566822063783</v>
      </c>
    </row>
    <row r="464" spans="2:7" x14ac:dyDescent="0.35">
      <c r="B464" s="94">
        <v>33329</v>
      </c>
      <c r="C464" s="49">
        <v>0.39355499999999999</v>
      </c>
      <c r="D464" s="3">
        <f t="shared" si="21"/>
        <v>0.38732021996615906</v>
      </c>
      <c r="E464" s="3">
        <v>-0.19117631947256034</v>
      </c>
      <c r="F464">
        <v>456</v>
      </c>
      <c r="G464" s="3">
        <f t="shared" ca="1" si="22"/>
        <v>0.1703061133645592</v>
      </c>
    </row>
    <row r="465" spans="2:7" x14ac:dyDescent="0.35">
      <c r="B465" s="94">
        <v>37073</v>
      </c>
      <c r="C465" s="49">
        <v>0.28367999999999999</v>
      </c>
      <c r="D465" s="3">
        <f t="shared" si="21"/>
        <v>0.78953079067889631</v>
      </c>
      <c r="E465" s="3">
        <v>-0.19182710661113234</v>
      </c>
      <c r="F465">
        <v>457</v>
      </c>
      <c r="G465" s="3">
        <f t="shared" ca="1" si="22"/>
        <v>0.10070707410791788</v>
      </c>
    </row>
    <row r="466" spans="2:7" x14ac:dyDescent="0.35">
      <c r="B466" s="94">
        <v>35217</v>
      </c>
      <c r="C466" s="49">
        <v>0.158522</v>
      </c>
      <c r="D466" s="3">
        <f t="shared" si="21"/>
        <v>-0.54263572601190424</v>
      </c>
      <c r="E466" s="3">
        <v>-0.19617258847212857</v>
      </c>
      <c r="F466">
        <v>458</v>
      </c>
      <c r="G466" s="3">
        <f t="shared" ca="1" si="22"/>
        <v>0.13078964576484012</v>
      </c>
    </row>
    <row r="467" spans="2:7" x14ac:dyDescent="0.35">
      <c r="B467" s="94">
        <v>33756</v>
      </c>
      <c r="C467" s="49">
        <v>0.34659899999999999</v>
      </c>
      <c r="D467" s="3">
        <f t="shared" si="21"/>
        <v>0.39411381407471757</v>
      </c>
      <c r="E467" s="3">
        <v>-0.19665356338250156</v>
      </c>
      <c r="F467">
        <v>459</v>
      </c>
      <c r="G467" s="3">
        <f t="shared" ca="1" si="22"/>
        <v>9.3840404946694211E-2</v>
      </c>
    </row>
    <row r="468" spans="2:7" x14ac:dyDescent="0.35">
      <c r="B468" s="94">
        <v>32843</v>
      </c>
      <c r="C468" s="49">
        <v>0.248616</v>
      </c>
      <c r="D468" s="3">
        <f t="shared" si="21"/>
        <v>0.98105133987266635</v>
      </c>
      <c r="E468" s="3">
        <v>-0.20142616237051317</v>
      </c>
      <c r="F468">
        <v>460</v>
      </c>
      <c r="G468" s="3">
        <f t="shared" ca="1" si="22"/>
        <v>-4.5188137608128044E-2</v>
      </c>
    </row>
    <row r="469" spans="2:7" x14ac:dyDescent="0.35">
      <c r="B469" s="94">
        <v>35431</v>
      </c>
      <c r="C469" s="49">
        <v>0.125497</v>
      </c>
      <c r="D469" s="3">
        <f t="shared" si="21"/>
        <v>-0.39192770792451009</v>
      </c>
      <c r="E469" s="3">
        <v>-0.20359311837237196</v>
      </c>
      <c r="F469">
        <v>461</v>
      </c>
      <c r="G469" s="3">
        <f t="shared" ca="1" si="22"/>
        <v>-7.3765611373091733E-2</v>
      </c>
    </row>
    <row r="470" spans="2:7" x14ac:dyDescent="0.35">
      <c r="B470" s="94">
        <v>33117</v>
      </c>
      <c r="C470" s="49">
        <v>0.20638500000000001</v>
      </c>
      <c r="D470" s="3">
        <f t="shared" si="21"/>
        <v>0.60530941787747727</v>
      </c>
      <c r="E470" s="3">
        <v>-0.21384630035234736</v>
      </c>
      <c r="F470">
        <v>462</v>
      </c>
      <c r="G470" s="3">
        <f t="shared" ca="1" si="22"/>
        <v>0.1175683165368458</v>
      </c>
    </row>
    <row r="471" spans="2:7" x14ac:dyDescent="0.35">
      <c r="B471" s="94">
        <v>35704</v>
      </c>
      <c r="C471" s="49">
        <v>0.12856400000000001</v>
      </c>
      <c r="D471" s="3">
        <f t="shared" si="21"/>
        <v>-0.57315077043623186</v>
      </c>
      <c r="E471" s="3">
        <v>-0.21469409695074268</v>
      </c>
      <c r="F471">
        <v>463</v>
      </c>
      <c r="G471" s="3">
        <f t="shared" ca="1" si="22"/>
        <v>9.0790821073709144E-2</v>
      </c>
    </row>
    <row r="472" spans="2:7" x14ac:dyDescent="0.35">
      <c r="B472" s="94">
        <v>37012</v>
      </c>
      <c r="C472" s="49">
        <v>0.30119299999999999</v>
      </c>
      <c r="D472" s="3">
        <f t="shared" si="21"/>
        <v>0.12584571219245982</v>
      </c>
      <c r="E472" s="3">
        <v>-0.21733899467819728</v>
      </c>
      <c r="F472">
        <v>464</v>
      </c>
      <c r="G472" s="3">
        <f t="shared" ca="1" si="22"/>
        <v>0.30048331769292858</v>
      </c>
    </row>
    <row r="473" spans="2:7" x14ac:dyDescent="0.35">
      <c r="B473" s="94">
        <v>37408</v>
      </c>
      <c r="C473" s="49">
        <v>0.26752599999999999</v>
      </c>
      <c r="D473" s="3">
        <f t="shared" si="21"/>
        <v>-9.4182337764354571E-2</v>
      </c>
      <c r="E473" s="3">
        <v>-0.23948170385026504</v>
      </c>
      <c r="F473">
        <v>465</v>
      </c>
      <c r="G473" s="3">
        <f t="shared" ca="1" si="22"/>
        <v>-2.2152776539345831E-2</v>
      </c>
    </row>
    <row r="474" spans="2:7" x14ac:dyDescent="0.35">
      <c r="B474" s="94">
        <v>36800</v>
      </c>
      <c r="C474" s="49">
        <v>0.29534199999999999</v>
      </c>
      <c r="D474" s="3">
        <f t="shared" si="21"/>
        <v>1.9809340210139588</v>
      </c>
      <c r="E474" s="3">
        <v>-0.24029149314353188</v>
      </c>
      <c r="F474">
        <v>466</v>
      </c>
      <c r="G474" s="3">
        <f t="shared" ca="1" si="22"/>
        <v>2.2220244063359967E-2</v>
      </c>
    </row>
    <row r="475" spans="2:7" x14ac:dyDescent="0.35">
      <c r="B475" s="94">
        <v>35765</v>
      </c>
      <c r="C475" s="49">
        <v>9.9076999999999998E-2</v>
      </c>
      <c r="D475" s="3">
        <f t="shared" si="21"/>
        <v>-0.51100132272520871</v>
      </c>
      <c r="E475" s="3">
        <v>-0.26055870258006253</v>
      </c>
      <c r="F475">
        <v>467</v>
      </c>
      <c r="G475" s="3">
        <f t="shared" ca="1" si="22"/>
        <v>0.12988767619005853</v>
      </c>
    </row>
    <row r="476" spans="2:7" x14ac:dyDescent="0.35">
      <c r="B476" s="94">
        <v>34151</v>
      </c>
      <c r="C476" s="49">
        <v>0.20261199999999999</v>
      </c>
      <c r="D476" s="3">
        <f t="shared" si="21"/>
        <v>-0.29746673046650163</v>
      </c>
      <c r="E476" s="3">
        <v>-0.29746673046650163</v>
      </c>
      <c r="F476">
        <v>468</v>
      </c>
      <c r="G476" s="3">
        <f t="shared" ca="1" si="22"/>
        <v>0.20064529308054319</v>
      </c>
    </row>
    <row r="477" spans="2:7" x14ac:dyDescent="0.35">
      <c r="B477" s="94">
        <v>34121</v>
      </c>
      <c r="C477" s="49">
        <v>0.28840199999999999</v>
      </c>
      <c r="D477" s="3">
        <f t="shared" si="21"/>
        <v>8.050533130521445E-2</v>
      </c>
      <c r="E477" s="3">
        <v>-0.30096903828161736</v>
      </c>
      <c r="F477">
        <v>469</v>
      </c>
      <c r="G477" s="3">
        <f t="shared" ca="1" si="22"/>
        <v>-0.11393743506383855</v>
      </c>
    </row>
    <row r="478" spans="2:7" x14ac:dyDescent="0.35">
      <c r="B478" s="94">
        <v>32051</v>
      </c>
      <c r="C478" s="49">
        <v>0.26691399999999998</v>
      </c>
      <c r="D478" s="3">
        <f t="shared" si="21"/>
        <v>-0.93469449072081612</v>
      </c>
      <c r="E478" s="3">
        <v>-0.31637114310375297</v>
      </c>
      <c r="F478">
        <v>470</v>
      </c>
      <c r="G478" s="3">
        <f t="shared" ca="1" si="22"/>
        <v>-3.8921998893926092E-2</v>
      </c>
    </row>
    <row r="479" spans="2:7" x14ac:dyDescent="0.35">
      <c r="B479" s="94">
        <v>39448</v>
      </c>
      <c r="C479" s="49">
        <v>4.0871589999999998</v>
      </c>
      <c r="D479" s="3">
        <f t="shared" si="21"/>
        <v>5.4457080225204617</v>
      </c>
      <c r="E479" s="3">
        <v>-0.31663989845132251</v>
      </c>
      <c r="F479">
        <v>471</v>
      </c>
      <c r="G479" s="3">
        <f t="shared" ca="1" si="22"/>
        <v>0.1376114923177735</v>
      </c>
    </row>
    <row r="480" spans="2:7" x14ac:dyDescent="0.35">
      <c r="B480" s="94">
        <v>36647</v>
      </c>
      <c r="C480" s="49">
        <v>0.63409000000000004</v>
      </c>
      <c r="D480" s="3">
        <f t="shared" si="21"/>
        <v>-0.81523828838200263</v>
      </c>
      <c r="E480" s="3">
        <v>-0.32292161634324923</v>
      </c>
      <c r="F480">
        <v>472</v>
      </c>
      <c r="G480" s="3">
        <f t="shared" ca="1" si="22"/>
        <v>0.22014773174642979</v>
      </c>
    </row>
    <row r="481" spans="2:7" x14ac:dyDescent="0.35">
      <c r="B481" s="94">
        <v>39692</v>
      </c>
      <c r="C481" s="49">
        <v>3.431934</v>
      </c>
      <c r="D481" s="3">
        <f t="shared" si="21"/>
        <v>7.8279670848370575</v>
      </c>
      <c r="E481" s="3">
        <v>-0.32955831460377838</v>
      </c>
      <c r="F481">
        <v>473</v>
      </c>
      <c r="G481" s="3">
        <f t="shared" ca="1" si="22"/>
        <v>4.4838527467110686E-2</v>
      </c>
    </row>
    <row r="482" spans="2:7" x14ac:dyDescent="0.35">
      <c r="B482" s="94">
        <v>36770</v>
      </c>
      <c r="C482" s="49">
        <v>0.38875700000000002</v>
      </c>
      <c r="D482" s="3" t="e">
        <f t="shared" si="21"/>
        <v>#DIV/0!</v>
      </c>
      <c r="E482" s="3">
        <v>-0.57743620624437497</v>
      </c>
      <c r="F482">
        <v>474</v>
      </c>
      <c r="G482" s="3">
        <f t="shared" ca="1" si="22"/>
        <v>0.11387411971243683</v>
      </c>
    </row>
    <row r="483" spans="2:7" x14ac:dyDescent="0.35">
      <c r="G483" s="3"/>
    </row>
    <row r="484" spans="2:7" x14ac:dyDescent="0.35">
      <c r="G484" s="3"/>
    </row>
    <row r="485" spans="2:7" x14ac:dyDescent="0.35">
      <c r="G485" s="3"/>
    </row>
    <row r="486" spans="2:7" x14ac:dyDescent="0.35">
      <c r="G486" s="3"/>
    </row>
  </sheetData>
  <sheetProtection password="CC0B" sheet="1" objects="1" scenarios="1" selectLockedCells="0" selectUnlockedCells="1"/>
  <mergeCells count="3">
    <mergeCell ref="B6:L6"/>
    <mergeCell ref="I8:L8"/>
    <mergeCell ref="I23:L23"/>
  </mergeCells>
  <pageMargins left="0.25" right="0.25" top="0.75" bottom="0.75" header="0.3" footer="0.3"/>
  <pageSetup paperSize="9" scale="65" orientation="landscape" horizontalDpi="4294967293" verticalDpi="0"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EF9ED9-8819-4A12-A948-78135EE0233A}">
  <dimension ref="B2:M77"/>
  <sheetViews>
    <sheetView showGridLines="0" topLeftCell="A62" zoomScale="131" workbookViewId="0">
      <selection activeCell="G77" sqref="G77"/>
    </sheetView>
  </sheetViews>
  <sheetFormatPr defaultRowHeight="14.5" x14ac:dyDescent="0.35"/>
  <cols>
    <col min="1" max="1" width="1.81640625" customWidth="1"/>
    <col min="3" max="3" width="8.7265625" customWidth="1"/>
    <col min="12" max="12" width="8.7265625" customWidth="1"/>
    <col min="16" max="16" width="8.7265625" customWidth="1"/>
    <col min="17" max="17" width="55.26953125" customWidth="1"/>
  </cols>
  <sheetData>
    <row r="2" spans="2:2" ht="14.5" customHeight="1" x14ac:dyDescent="0.35"/>
    <row r="3" spans="2:2" ht="14.5" customHeight="1" x14ac:dyDescent="0.65">
      <c r="B3" s="193"/>
    </row>
    <row r="20" spans="2:13" x14ac:dyDescent="0.35">
      <c r="M20" s="148"/>
    </row>
    <row r="21" spans="2:13" x14ac:dyDescent="0.35">
      <c r="M21" s="148"/>
    </row>
    <row r="26" spans="2:13" x14ac:dyDescent="0.35">
      <c r="B26" s="231" t="s">
        <v>558</v>
      </c>
      <c r="C26" s="231"/>
      <c r="D26" s="231"/>
      <c r="E26" s="231"/>
      <c r="F26" s="231"/>
      <c r="G26" s="231"/>
      <c r="H26" s="231"/>
      <c r="I26" s="231"/>
      <c r="J26" s="231"/>
      <c r="K26" s="231"/>
    </row>
    <row r="38" spans="2:13" ht="21" x14ac:dyDescent="0.5">
      <c r="B38" s="242" t="s">
        <v>560</v>
      </c>
      <c r="C38" s="242"/>
      <c r="D38" s="242"/>
      <c r="E38" s="242"/>
      <c r="F38" s="242"/>
      <c r="G38" s="242"/>
      <c r="H38" s="242"/>
      <c r="I38" s="242"/>
      <c r="J38" s="242"/>
      <c r="K38" s="242"/>
    </row>
    <row r="39" spans="2:13" x14ac:dyDescent="0.35">
      <c r="B39" s="238" t="s">
        <v>545</v>
      </c>
      <c r="C39" s="238"/>
      <c r="D39" s="238"/>
      <c r="E39" s="238"/>
      <c r="F39" s="238"/>
      <c r="G39" s="238"/>
      <c r="H39" s="238"/>
      <c r="I39" s="238"/>
      <c r="J39" s="238"/>
      <c r="K39" s="238"/>
    </row>
    <row r="40" spans="2:13" x14ac:dyDescent="0.35">
      <c r="B40" s="109"/>
      <c r="C40" s="69"/>
      <c r="D40" s="69"/>
      <c r="E40" s="69"/>
      <c r="F40" s="69"/>
      <c r="G40" s="214">
        <f>'Historical &amp; Forecasted FS'!H6</f>
        <v>2019</v>
      </c>
      <c r="H40" s="214">
        <f>'Historical &amp; Forecasted FS'!I6</f>
        <v>2020</v>
      </c>
      <c r="I40" s="214">
        <f>'Historical &amp; Forecasted FS'!J6</f>
        <v>2021</v>
      </c>
      <c r="J40" s="214">
        <f>'Historical &amp; Forecasted FS'!K6</f>
        <v>2022</v>
      </c>
      <c r="K40" s="214">
        <f>'Historical &amp; Forecasted FS'!L6</f>
        <v>2023</v>
      </c>
    </row>
    <row r="41" spans="2:13" x14ac:dyDescent="0.35">
      <c r="B41" t="s">
        <v>546</v>
      </c>
      <c r="G41" s="127">
        <f>'Historical &amp; Forecasted FS'!H47</f>
        <v>55256</v>
      </c>
      <c r="H41" s="127">
        <f>'Historical &amp; Forecasted FS'!I47</f>
        <v>57411</v>
      </c>
      <c r="I41" s="127">
        <f>'Historical &amp; Forecasted FS'!J47</f>
        <v>94680</v>
      </c>
      <c r="J41" s="127">
        <f>'Historical &amp; Forecasted FS'!K47</f>
        <v>99803</v>
      </c>
      <c r="K41" s="127">
        <f>'Historical &amp; Forecasted FS'!L47</f>
        <v>96995</v>
      </c>
      <c r="M41" s="148"/>
    </row>
    <row r="42" spans="2:13" x14ac:dyDescent="0.35">
      <c r="B42" t="s">
        <v>547</v>
      </c>
      <c r="G42" s="127">
        <f>('Historical &amp; Forecasted FS'!H105+'Historical &amp; Forecasted FS'!G105)/2</f>
        <v>98817.5</v>
      </c>
      <c r="H42" s="127">
        <f>('Historical &amp; Forecasted FS'!I105+'Historical &amp; Forecasted FS'!H105)/2</f>
        <v>77913.5</v>
      </c>
      <c r="I42" s="127">
        <f>('Historical &amp; Forecasted FS'!J105+'Historical &amp; Forecasted FS'!I105)/2</f>
        <v>64214.5</v>
      </c>
      <c r="J42" s="127">
        <f>('Historical &amp; Forecasted FS'!K105+'Historical &amp; Forecasted FS'!J105)/2</f>
        <v>56881</v>
      </c>
      <c r="K42" s="127">
        <f>('Historical &amp; Forecasted FS'!L105+'Historical &amp; Forecasted FS'!K105)/2</f>
        <v>56409</v>
      </c>
    </row>
    <row r="43" spans="2:13" x14ac:dyDescent="0.35">
      <c r="B43" s="199" t="s">
        <v>545</v>
      </c>
      <c r="C43" s="199"/>
      <c r="D43" s="199"/>
      <c r="E43" s="199"/>
      <c r="F43" s="199"/>
      <c r="G43" s="212">
        <f>G41/G42</f>
        <v>0.55917221139980267</v>
      </c>
      <c r="H43" s="212">
        <f t="shared" ref="H43:K43" si="0">H41/H42</f>
        <v>0.73685561552234213</v>
      </c>
      <c r="I43" s="212">
        <f t="shared" si="0"/>
        <v>1.4744333444938449</v>
      </c>
      <c r="J43" s="212">
        <f t="shared" si="0"/>
        <v>1.7545929220653644</v>
      </c>
      <c r="K43" s="212">
        <f t="shared" si="0"/>
        <v>1.7194951160275842</v>
      </c>
      <c r="L43" s="216"/>
    </row>
    <row r="45" spans="2:13" x14ac:dyDescent="0.35">
      <c r="B45" s="238" t="s">
        <v>548</v>
      </c>
      <c r="C45" s="238"/>
      <c r="D45" s="238"/>
      <c r="E45" s="238"/>
      <c r="F45" s="238"/>
      <c r="G45" s="238"/>
      <c r="H45" s="238"/>
      <c r="I45" s="238"/>
      <c r="J45" s="238"/>
      <c r="K45" s="238"/>
    </row>
    <row r="46" spans="2:13" x14ac:dyDescent="0.35">
      <c r="B46" s="69"/>
      <c r="C46" s="69"/>
      <c r="D46" s="69"/>
      <c r="E46" s="69"/>
      <c r="F46" s="69"/>
      <c r="G46" s="214">
        <f>G40</f>
        <v>2019</v>
      </c>
      <c r="H46" s="214">
        <f>H40</f>
        <v>2020</v>
      </c>
      <c r="I46" s="214">
        <f>I40</f>
        <v>2021</v>
      </c>
      <c r="J46" s="214">
        <f>J40</f>
        <v>2022</v>
      </c>
      <c r="K46" s="214">
        <f>K40</f>
        <v>2023</v>
      </c>
    </row>
    <row r="47" spans="2:13" x14ac:dyDescent="0.35">
      <c r="B47" t="s">
        <v>546</v>
      </c>
      <c r="G47" s="127">
        <f>'Historical &amp; Forecasted FS'!H47</f>
        <v>55256</v>
      </c>
      <c r="H47" s="127">
        <f>'Historical &amp; Forecasted FS'!I47</f>
        <v>57411</v>
      </c>
      <c r="I47" s="127">
        <f>'Historical &amp; Forecasted FS'!J47</f>
        <v>94680</v>
      </c>
      <c r="J47" s="127">
        <f>'Historical &amp; Forecasted FS'!K47</f>
        <v>99803</v>
      </c>
      <c r="K47" s="127">
        <f>'Historical &amp; Forecasted FS'!L47</f>
        <v>96995</v>
      </c>
    </row>
    <row r="48" spans="2:13" x14ac:dyDescent="0.35">
      <c r="B48" t="s">
        <v>0</v>
      </c>
      <c r="G48" s="127">
        <f>'Historical &amp; Forecasted FS'!H8</f>
        <v>260174</v>
      </c>
      <c r="H48" s="127">
        <f>'Historical &amp; Forecasted FS'!I8</f>
        <v>274515</v>
      </c>
      <c r="I48" s="127">
        <f>'Historical &amp; Forecasted FS'!J8</f>
        <v>365817</v>
      </c>
      <c r="J48" s="127">
        <f>'Historical &amp; Forecasted FS'!K8</f>
        <v>394328</v>
      </c>
      <c r="K48" s="127">
        <f>'Historical &amp; Forecasted FS'!L8</f>
        <v>383285</v>
      </c>
    </row>
    <row r="49" spans="2:11" x14ac:dyDescent="0.35">
      <c r="B49" s="199" t="s">
        <v>549</v>
      </c>
      <c r="C49" s="199"/>
      <c r="D49" s="199"/>
      <c r="E49" s="199"/>
      <c r="F49" s="199"/>
      <c r="G49" s="212">
        <f>G47/G48</f>
        <v>0.21238094505984456</v>
      </c>
      <c r="H49" s="212">
        <f t="shared" ref="H49" si="1">H47/H48</f>
        <v>0.20913611278072236</v>
      </c>
      <c r="I49" s="212">
        <f t="shared" ref="I49" si="2">I47/I48</f>
        <v>0.25881793355694238</v>
      </c>
      <c r="J49" s="212">
        <f t="shared" ref="J49" si="3">J47/J48</f>
        <v>0.25309640705199732</v>
      </c>
      <c r="K49" s="212">
        <f t="shared" ref="K49" si="4">K47/K48</f>
        <v>0.25306234264320282</v>
      </c>
    </row>
    <row r="51" spans="2:11" x14ac:dyDescent="0.35">
      <c r="B51" t="s">
        <v>0</v>
      </c>
      <c r="G51" s="127">
        <f>'Historical &amp; Forecasted FS'!H8</f>
        <v>260174</v>
      </c>
      <c r="H51" s="127">
        <f>'Historical &amp; Forecasted FS'!I8</f>
        <v>274515</v>
      </c>
      <c r="I51" s="127">
        <f>'Historical &amp; Forecasted FS'!J8</f>
        <v>365817</v>
      </c>
      <c r="J51" s="127">
        <f>'Historical &amp; Forecasted FS'!K8</f>
        <v>394328</v>
      </c>
      <c r="K51" s="127">
        <f>'Historical &amp; Forecasted FS'!L8</f>
        <v>383285</v>
      </c>
    </row>
    <row r="52" spans="2:11" x14ac:dyDescent="0.35">
      <c r="B52" t="s">
        <v>550</v>
      </c>
      <c r="G52" s="127">
        <f>('Historical &amp; Forecasted FS'!H82+'Historical &amp; Forecasted FS'!G82)/2</f>
        <v>352120.5</v>
      </c>
      <c r="H52" s="127">
        <f>('Historical &amp; Forecasted FS'!I82+'Historical &amp; Forecasted FS'!H82)/2</f>
        <v>331202</v>
      </c>
      <c r="I52" s="127">
        <f>('Historical &amp; Forecasted FS'!J82+'Historical &amp; Forecasted FS'!I82)/2</f>
        <v>337445</v>
      </c>
      <c r="J52" s="127">
        <f>('Historical &amp; Forecasted FS'!K82+'Historical &amp; Forecasted FS'!J82)/2</f>
        <v>351878.5</v>
      </c>
      <c r="K52" s="127">
        <f>('Historical &amp; Forecasted FS'!L82+'Historical &amp; Forecasted FS'!K82)/2</f>
        <v>352669</v>
      </c>
    </row>
    <row r="53" spans="2:11" x14ac:dyDescent="0.35">
      <c r="B53" s="199" t="s">
        <v>551</v>
      </c>
      <c r="C53" s="199"/>
      <c r="D53" s="199"/>
      <c r="E53" s="199"/>
      <c r="F53" s="199"/>
      <c r="G53" s="213">
        <f>G51/G52</f>
        <v>0.73887774213656976</v>
      </c>
      <c r="H53" s="213">
        <f t="shared" ref="H53" si="5">H51/H52</f>
        <v>0.82884463258072116</v>
      </c>
      <c r="I53" s="213">
        <f t="shared" ref="I53" si="6">I51/I52</f>
        <v>1.084078886929722</v>
      </c>
      <c r="J53" s="213">
        <f t="shared" ref="J53" si="7">J51/J52</f>
        <v>1.1206368107173357</v>
      </c>
      <c r="K53" s="213">
        <f t="shared" ref="K53" si="8">K51/K52</f>
        <v>1.0868122800699807</v>
      </c>
    </row>
    <row r="55" spans="2:11" x14ac:dyDescent="0.35">
      <c r="B55" t="s">
        <v>550</v>
      </c>
      <c r="G55" s="127">
        <f>G52</f>
        <v>352120.5</v>
      </c>
      <c r="H55" s="127">
        <f t="shared" ref="H55:K55" si="9">H52</f>
        <v>331202</v>
      </c>
      <c r="I55" s="127">
        <f t="shared" si="9"/>
        <v>337445</v>
      </c>
      <c r="J55" s="127">
        <f t="shared" si="9"/>
        <v>351878.5</v>
      </c>
      <c r="K55" s="127">
        <f t="shared" si="9"/>
        <v>352669</v>
      </c>
    </row>
    <row r="56" spans="2:11" x14ac:dyDescent="0.35">
      <c r="B56" t="s">
        <v>557</v>
      </c>
      <c r="G56" s="127">
        <f>G42</f>
        <v>98817.5</v>
      </c>
      <c r="H56" s="127">
        <f>H42</f>
        <v>77913.5</v>
      </c>
      <c r="I56" s="127">
        <f>I42</f>
        <v>64214.5</v>
      </c>
      <c r="J56" s="127">
        <f>J42</f>
        <v>56881</v>
      </c>
      <c r="K56" s="127">
        <f>K42</f>
        <v>56409</v>
      </c>
    </row>
    <row r="57" spans="2:11" x14ac:dyDescent="0.35">
      <c r="B57" s="199" t="s">
        <v>552</v>
      </c>
      <c r="C57" s="199"/>
      <c r="D57" s="199"/>
      <c r="E57" s="199"/>
      <c r="F57" s="199"/>
      <c r="G57" s="213">
        <f>G55/G56</f>
        <v>3.5633415133959065</v>
      </c>
      <c r="H57" s="213">
        <f t="shared" ref="H57" si="10">H55/H56</f>
        <v>4.2508936192059146</v>
      </c>
      <c r="I57" s="213">
        <f t="shared" ref="I57" si="11">I55/I56</f>
        <v>5.2549657787571347</v>
      </c>
      <c r="J57" s="213">
        <f t="shared" ref="J57" si="12">J55/J56</f>
        <v>6.1862221128320529</v>
      </c>
      <c r="K57" s="213">
        <f t="shared" ref="K57" si="13">K55/K56</f>
        <v>6.2519987945186051</v>
      </c>
    </row>
    <row r="59" spans="2:11" x14ac:dyDescent="0.35">
      <c r="B59" s="199" t="s">
        <v>553</v>
      </c>
      <c r="C59" s="199"/>
      <c r="D59" s="199"/>
      <c r="E59" s="199"/>
      <c r="F59" s="199"/>
      <c r="G59" s="212">
        <f>G49*G53*G57</f>
        <v>0.55917221139980267</v>
      </c>
      <c r="H59" s="212">
        <f t="shared" ref="H59:J59" si="14">H49*H53*H57</f>
        <v>0.73685561552234224</v>
      </c>
      <c r="I59" s="212">
        <f t="shared" si="14"/>
        <v>1.4744333444938449</v>
      </c>
      <c r="J59" s="212">
        <f t="shared" si="14"/>
        <v>1.7545929220653647</v>
      </c>
      <c r="K59" s="212">
        <f>K49*K53*K57</f>
        <v>1.7194951160275842</v>
      </c>
    </row>
    <row r="61" spans="2:11" x14ac:dyDescent="0.35">
      <c r="B61" s="238" t="s">
        <v>554</v>
      </c>
      <c r="C61" s="238"/>
      <c r="D61" s="238"/>
      <c r="E61" s="238"/>
      <c r="F61" s="238"/>
      <c r="G61" s="238"/>
      <c r="H61" s="238"/>
      <c r="I61" s="238"/>
      <c r="J61" s="238"/>
      <c r="K61" s="238"/>
    </row>
    <row r="62" spans="2:11" x14ac:dyDescent="0.35">
      <c r="B62" s="109"/>
      <c r="C62" s="69"/>
      <c r="D62" s="69"/>
      <c r="E62" s="69"/>
      <c r="F62" s="69"/>
      <c r="G62" s="214">
        <f t="shared" ref="G62:K63" si="15">G46</f>
        <v>2019</v>
      </c>
      <c r="H62" s="214">
        <f t="shared" si="15"/>
        <v>2020</v>
      </c>
      <c r="I62" s="214">
        <f t="shared" si="15"/>
        <v>2021</v>
      </c>
      <c r="J62" s="214">
        <f t="shared" si="15"/>
        <v>2022</v>
      </c>
      <c r="K62" s="214">
        <f t="shared" si="15"/>
        <v>2023</v>
      </c>
    </row>
    <row r="63" spans="2:11" x14ac:dyDescent="0.35">
      <c r="B63" t="s">
        <v>546</v>
      </c>
      <c r="G63" s="127">
        <f t="shared" si="15"/>
        <v>55256</v>
      </c>
      <c r="H63" s="127">
        <f t="shared" si="15"/>
        <v>57411</v>
      </c>
      <c r="I63" s="127">
        <f t="shared" si="15"/>
        <v>94680</v>
      </c>
      <c r="J63" s="127">
        <f t="shared" si="15"/>
        <v>99803</v>
      </c>
      <c r="K63" s="127">
        <f t="shared" si="15"/>
        <v>96995</v>
      </c>
    </row>
    <row r="64" spans="2:11" x14ac:dyDescent="0.35">
      <c r="B64" t="s">
        <v>550</v>
      </c>
      <c r="G64" s="127">
        <f>G55</f>
        <v>352120.5</v>
      </c>
      <c r="H64" s="127">
        <f>H55</f>
        <v>331202</v>
      </c>
      <c r="I64" s="127">
        <f>I55</f>
        <v>337445</v>
      </c>
      <c r="J64" s="127">
        <f>J55</f>
        <v>351878.5</v>
      </c>
      <c r="K64" s="127">
        <f>K55</f>
        <v>352669</v>
      </c>
    </row>
    <row r="65" spans="2:11" x14ac:dyDescent="0.35">
      <c r="B65" s="199" t="s">
        <v>554</v>
      </c>
      <c r="C65" s="199"/>
      <c r="D65" s="199"/>
      <c r="E65" s="199"/>
      <c r="F65" s="199"/>
      <c r="G65" s="212">
        <f>G63/G64</f>
        <v>0.15692355315864881</v>
      </c>
      <c r="H65" s="212">
        <f t="shared" ref="H65" si="16">H63/H64</f>
        <v>0.1733413445570981</v>
      </c>
      <c r="I65" s="212">
        <f t="shared" ref="I65" si="17">I63/I64</f>
        <v>0.28057905732786081</v>
      </c>
      <c r="J65" s="212">
        <f t="shared" ref="J65" si="18">J63/J64</f>
        <v>0.28362915040276687</v>
      </c>
      <c r="K65" s="212">
        <f t="shared" ref="K65" si="19">K63/K64</f>
        <v>0.27503126160790997</v>
      </c>
    </row>
    <row r="67" spans="2:11" x14ac:dyDescent="0.35">
      <c r="B67" s="238" t="s">
        <v>555</v>
      </c>
      <c r="C67" s="238"/>
      <c r="D67" s="238"/>
      <c r="E67" s="238"/>
      <c r="F67" s="238"/>
      <c r="G67" s="238"/>
      <c r="H67" s="238"/>
      <c r="I67" s="238"/>
      <c r="J67" s="238"/>
      <c r="K67" s="238"/>
    </row>
    <row r="68" spans="2:11" x14ac:dyDescent="0.35">
      <c r="B68" s="69"/>
      <c r="C68" s="69"/>
      <c r="D68" s="69"/>
      <c r="E68" s="69"/>
      <c r="F68" s="69"/>
      <c r="G68" s="214">
        <f t="shared" ref="G68:K69" si="20">G62</f>
        <v>2019</v>
      </c>
      <c r="H68" s="214">
        <f t="shared" si="20"/>
        <v>2020</v>
      </c>
      <c r="I68" s="214">
        <f t="shared" si="20"/>
        <v>2021</v>
      </c>
      <c r="J68" s="214">
        <f t="shared" si="20"/>
        <v>2022</v>
      </c>
      <c r="K68" s="214">
        <f t="shared" si="20"/>
        <v>2023</v>
      </c>
    </row>
    <row r="69" spans="2:11" x14ac:dyDescent="0.35">
      <c r="B69" t="s">
        <v>546</v>
      </c>
      <c r="G69" s="127">
        <f t="shared" si="20"/>
        <v>55256</v>
      </c>
      <c r="H69" s="127">
        <f t="shared" si="20"/>
        <v>57411</v>
      </c>
      <c r="I69" s="127">
        <f t="shared" si="20"/>
        <v>94680</v>
      </c>
      <c r="J69" s="127">
        <f t="shared" si="20"/>
        <v>99803</v>
      </c>
      <c r="K69" s="127">
        <f t="shared" si="20"/>
        <v>96995</v>
      </c>
    </row>
    <row r="70" spans="2:11" x14ac:dyDescent="0.35">
      <c r="B70" t="s">
        <v>0</v>
      </c>
      <c r="G70" s="127">
        <f>G51</f>
        <v>260174</v>
      </c>
      <c r="H70" s="127">
        <f>H51</f>
        <v>274515</v>
      </c>
      <c r="I70" s="127">
        <f>I51</f>
        <v>365817</v>
      </c>
      <c r="J70" s="127">
        <f>J51</f>
        <v>394328</v>
      </c>
      <c r="K70" s="127">
        <f>K51</f>
        <v>383285</v>
      </c>
    </row>
    <row r="71" spans="2:11" x14ac:dyDescent="0.35">
      <c r="B71" s="199" t="s">
        <v>549</v>
      </c>
      <c r="C71" s="199"/>
      <c r="D71" s="199"/>
      <c r="E71" s="199"/>
      <c r="F71" s="199"/>
      <c r="G71" s="212">
        <f>G69/G70</f>
        <v>0.21238094505984456</v>
      </c>
      <c r="H71" s="212">
        <f t="shared" ref="H71" si="21">H69/H70</f>
        <v>0.20913611278072236</v>
      </c>
      <c r="I71" s="212">
        <f t="shared" ref="I71" si="22">I69/I70</f>
        <v>0.25881793355694238</v>
      </c>
      <c r="J71" s="212">
        <f t="shared" ref="J71" si="23">J69/J70</f>
        <v>0.25309640705199732</v>
      </c>
      <c r="K71" s="212">
        <f t="shared" ref="K71" si="24">K69/K70</f>
        <v>0.25306234264320282</v>
      </c>
    </row>
    <row r="73" spans="2:11" x14ac:dyDescent="0.35">
      <c r="B73" t="s">
        <v>0</v>
      </c>
      <c r="G73" s="127">
        <f>G70</f>
        <v>260174</v>
      </c>
      <c r="H73" s="127">
        <f t="shared" ref="H73:K73" si="25">H70</f>
        <v>274515</v>
      </c>
      <c r="I73" s="127">
        <f t="shared" si="25"/>
        <v>365817</v>
      </c>
      <c r="J73" s="127">
        <f t="shared" si="25"/>
        <v>394328</v>
      </c>
      <c r="K73" s="127">
        <f t="shared" si="25"/>
        <v>383285</v>
      </c>
    </row>
    <row r="74" spans="2:11" x14ac:dyDescent="0.35">
      <c r="B74" t="s">
        <v>550</v>
      </c>
      <c r="G74" s="127">
        <f>G64</f>
        <v>352120.5</v>
      </c>
      <c r="H74" s="127">
        <f t="shared" ref="H74:K74" si="26">H64</f>
        <v>331202</v>
      </c>
      <c r="I74" s="127">
        <f t="shared" si="26"/>
        <v>337445</v>
      </c>
      <c r="J74" s="127">
        <f t="shared" si="26"/>
        <v>351878.5</v>
      </c>
      <c r="K74" s="127">
        <f t="shared" si="26"/>
        <v>352669</v>
      </c>
    </row>
    <row r="75" spans="2:11" x14ac:dyDescent="0.35">
      <c r="B75" s="199" t="s">
        <v>551</v>
      </c>
      <c r="C75" s="199"/>
      <c r="D75" s="199"/>
      <c r="E75" s="199"/>
      <c r="F75" s="199"/>
      <c r="G75" s="213">
        <f>G73/G74</f>
        <v>0.73887774213656976</v>
      </c>
      <c r="H75" s="213">
        <f t="shared" ref="H75" si="27">H73/H74</f>
        <v>0.82884463258072116</v>
      </c>
      <c r="I75" s="213">
        <f t="shared" ref="I75" si="28">I73/I74</f>
        <v>1.084078886929722</v>
      </c>
      <c r="J75" s="213">
        <f t="shared" ref="J75" si="29">J73/J74</f>
        <v>1.1206368107173357</v>
      </c>
      <c r="K75" s="213">
        <f t="shared" ref="K75" si="30">K73/K74</f>
        <v>1.0868122800699807</v>
      </c>
    </row>
    <row r="77" spans="2:11" x14ac:dyDescent="0.35">
      <c r="B77" s="199" t="s">
        <v>556</v>
      </c>
      <c r="C77" s="199"/>
      <c r="D77" s="199"/>
      <c r="E77" s="199"/>
      <c r="F77" s="199"/>
      <c r="G77" s="212">
        <f>G75*G71</f>
        <v>0.15692355315864881</v>
      </c>
      <c r="H77" s="212">
        <f t="shared" ref="H77:K77" si="31">H75*H71</f>
        <v>0.1733413445570981</v>
      </c>
      <c r="I77" s="212">
        <f t="shared" si="31"/>
        <v>0.28057905732786081</v>
      </c>
      <c r="J77" s="212">
        <f t="shared" si="31"/>
        <v>0.28362915040276687</v>
      </c>
      <c r="K77" s="212">
        <f t="shared" si="31"/>
        <v>0.27503126160790997</v>
      </c>
    </row>
  </sheetData>
  <sheetProtection password="CC0B" sheet="1" objects="1" scenarios="1" selectLockedCells="0" selectUnlockedCells="1"/>
  <mergeCells count="6">
    <mergeCell ref="B67:K67"/>
    <mergeCell ref="B26:K26"/>
    <mergeCell ref="B38:K38"/>
    <mergeCell ref="B39:K39"/>
    <mergeCell ref="B45:K45"/>
    <mergeCell ref="B61:K61"/>
  </mergeCells>
  <pageMargins left="0.7" right="0.7" top="0.75" bottom="0.75" header="0.3" footer="0.3"/>
  <pageSetup paperSize="9" orientation="portrait" horizontalDpi="4294967293" verticalDpi="0" r:id="rId1"/>
  <rowBreaks count="2" manualBreakCount="2">
    <brk id="25" max="16383" man="1"/>
    <brk id="36" max="16383" man="1"/>
  </rowBreaks>
  <colBreaks count="1" manualBreakCount="1">
    <brk id="1" max="1048575" man="1"/>
  </colBreaks>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FC234A-EB9C-426B-A755-C978D9A0BA8C}">
  <sheetPr>
    <tabColor rgb="FF002060"/>
  </sheetPr>
  <dimension ref="A1"/>
  <sheetViews>
    <sheetView showGridLines="0" topLeftCell="A7" workbookViewId="0">
      <selection activeCell="R16" sqref="R16"/>
    </sheetView>
  </sheetViews>
  <sheetFormatPr defaultRowHeight="14.5" x14ac:dyDescent="0.35"/>
  <cols>
    <col min="1" max="1" width="1.81640625" customWidth="1"/>
  </cols>
  <sheetData/>
  <sheetProtection password="CC0B" sheet="1" objects="1" scenarios="1" selectLockedCells="0" selectUnlockedCells="1"/>
  <pageMargins left="0.7" right="0.7" top="0.75" bottom="0.75" header="0.3" footer="0.3"/>
  <pageSetup paperSize="9" orientation="portrait" horizontalDpi="4294967293" verticalDpi="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C5DDA7-34F5-4025-B06E-BDA7640A1914}">
  <dimension ref="A4:IZ947"/>
  <sheetViews>
    <sheetView topLeftCell="A6" zoomScale="131" workbookViewId="0">
      <selection activeCell="A34" sqref="A34"/>
    </sheetView>
  </sheetViews>
  <sheetFormatPr defaultRowHeight="10" x14ac:dyDescent="0.2"/>
  <cols>
    <col min="1" max="1" width="21.36328125" style="14" customWidth="1"/>
    <col min="2" max="3" width="9.36328125" style="14" bestFit="1" customWidth="1"/>
    <col min="4" max="4" width="14.90625" style="14" bestFit="1" customWidth="1"/>
    <col min="5" max="6" width="9.36328125" style="14" bestFit="1" customWidth="1"/>
    <col min="7" max="7" width="9.7265625" style="14" bestFit="1" customWidth="1"/>
    <col min="8" max="12" width="14.81640625" style="14" customWidth="1"/>
    <col min="13" max="261" width="8.7265625" style="14"/>
    <col min="262" max="262" width="45.81640625" style="14" customWidth="1"/>
    <col min="263" max="268" width="14.81640625" style="14" customWidth="1"/>
    <col min="269" max="517" width="8.7265625" style="14"/>
    <col min="518" max="518" width="45.81640625" style="14" customWidth="1"/>
    <col min="519" max="524" width="14.81640625" style="14" customWidth="1"/>
    <col min="525" max="773" width="8.7265625" style="14"/>
    <col min="774" max="774" width="45.81640625" style="14" customWidth="1"/>
    <col min="775" max="780" width="14.81640625" style="14" customWidth="1"/>
    <col min="781" max="1029" width="8.7265625" style="14"/>
    <col min="1030" max="1030" width="45.81640625" style="14" customWidth="1"/>
    <col min="1031" max="1036" width="14.81640625" style="14" customWidth="1"/>
    <col min="1037" max="1285" width="8.7265625" style="14"/>
    <col min="1286" max="1286" width="45.81640625" style="14" customWidth="1"/>
    <col min="1287" max="1292" width="14.81640625" style="14" customWidth="1"/>
    <col min="1293" max="1541" width="8.7265625" style="14"/>
    <col min="1542" max="1542" width="45.81640625" style="14" customWidth="1"/>
    <col min="1543" max="1548" width="14.81640625" style="14" customWidth="1"/>
    <col min="1549" max="1797" width="8.7265625" style="14"/>
    <col min="1798" max="1798" width="45.81640625" style="14" customWidth="1"/>
    <col min="1799" max="1804" width="14.81640625" style="14" customWidth="1"/>
    <col min="1805" max="2053" width="8.7265625" style="14"/>
    <col min="2054" max="2054" width="45.81640625" style="14" customWidth="1"/>
    <col min="2055" max="2060" width="14.81640625" style="14" customWidth="1"/>
    <col min="2061" max="2309" width="8.7265625" style="14"/>
    <col min="2310" max="2310" width="45.81640625" style="14" customWidth="1"/>
    <col min="2311" max="2316" width="14.81640625" style="14" customWidth="1"/>
    <col min="2317" max="2565" width="8.7265625" style="14"/>
    <col min="2566" max="2566" width="45.81640625" style="14" customWidth="1"/>
    <col min="2567" max="2572" width="14.81640625" style="14" customWidth="1"/>
    <col min="2573" max="2821" width="8.7265625" style="14"/>
    <col min="2822" max="2822" width="45.81640625" style="14" customWidth="1"/>
    <col min="2823" max="2828" width="14.81640625" style="14" customWidth="1"/>
    <col min="2829" max="3077" width="8.7265625" style="14"/>
    <col min="3078" max="3078" width="45.81640625" style="14" customWidth="1"/>
    <col min="3079" max="3084" width="14.81640625" style="14" customWidth="1"/>
    <col min="3085" max="3333" width="8.7265625" style="14"/>
    <col min="3334" max="3334" width="45.81640625" style="14" customWidth="1"/>
    <col min="3335" max="3340" width="14.81640625" style="14" customWidth="1"/>
    <col min="3341" max="3589" width="8.7265625" style="14"/>
    <col min="3590" max="3590" width="45.81640625" style="14" customWidth="1"/>
    <col min="3591" max="3596" width="14.81640625" style="14" customWidth="1"/>
    <col min="3597" max="3845" width="8.7265625" style="14"/>
    <col min="3846" max="3846" width="45.81640625" style="14" customWidth="1"/>
    <col min="3847" max="3852" width="14.81640625" style="14" customWidth="1"/>
    <col min="3853" max="4101" width="8.7265625" style="14"/>
    <col min="4102" max="4102" width="45.81640625" style="14" customWidth="1"/>
    <col min="4103" max="4108" width="14.81640625" style="14" customWidth="1"/>
    <col min="4109" max="4357" width="8.7265625" style="14"/>
    <col min="4358" max="4358" width="45.81640625" style="14" customWidth="1"/>
    <col min="4359" max="4364" width="14.81640625" style="14" customWidth="1"/>
    <col min="4365" max="4613" width="8.7265625" style="14"/>
    <col min="4614" max="4614" width="45.81640625" style="14" customWidth="1"/>
    <col min="4615" max="4620" width="14.81640625" style="14" customWidth="1"/>
    <col min="4621" max="4869" width="8.7265625" style="14"/>
    <col min="4870" max="4870" width="45.81640625" style="14" customWidth="1"/>
    <col min="4871" max="4876" width="14.81640625" style="14" customWidth="1"/>
    <col min="4877" max="5125" width="8.7265625" style="14"/>
    <col min="5126" max="5126" width="45.81640625" style="14" customWidth="1"/>
    <col min="5127" max="5132" width="14.81640625" style="14" customWidth="1"/>
    <col min="5133" max="5381" width="8.7265625" style="14"/>
    <col min="5382" max="5382" width="45.81640625" style="14" customWidth="1"/>
    <col min="5383" max="5388" width="14.81640625" style="14" customWidth="1"/>
    <col min="5389" max="5637" width="8.7265625" style="14"/>
    <col min="5638" max="5638" width="45.81640625" style="14" customWidth="1"/>
    <col min="5639" max="5644" width="14.81640625" style="14" customWidth="1"/>
    <col min="5645" max="5893" width="8.7265625" style="14"/>
    <col min="5894" max="5894" width="45.81640625" style="14" customWidth="1"/>
    <col min="5895" max="5900" width="14.81640625" style="14" customWidth="1"/>
    <col min="5901" max="6149" width="8.7265625" style="14"/>
    <col min="6150" max="6150" width="45.81640625" style="14" customWidth="1"/>
    <col min="6151" max="6156" width="14.81640625" style="14" customWidth="1"/>
    <col min="6157" max="6405" width="8.7265625" style="14"/>
    <col min="6406" max="6406" width="45.81640625" style="14" customWidth="1"/>
    <col min="6407" max="6412" width="14.81640625" style="14" customWidth="1"/>
    <col min="6413" max="6661" width="8.7265625" style="14"/>
    <col min="6662" max="6662" width="45.81640625" style="14" customWidth="1"/>
    <col min="6663" max="6668" width="14.81640625" style="14" customWidth="1"/>
    <col min="6669" max="6917" width="8.7265625" style="14"/>
    <col min="6918" max="6918" width="45.81640625" style="14" customWidth="1"/>
    <col min="6919" max="6924" width="14.81640625" style="14" customWidth="1"/>
    <col min="6925" max="7173" width="8.7265625" style="14"/>
    <col min="7174" max="7174" width="45.81640625" style="14" customWidth="1"/>
    <col min="7175" max="7180" width="14.81640625" style="14" customWidth="1"/>
    <col min="7181" max="7429" width="8.7265625" style="14"/>
    <col min="7430" max="7430" width="45.81640625" style="14" customWidth="1"/>
    <col min="7431" max="7436" width="14.81640625" style="14" customWidth="1"/>
    <col min="7437" max="7685" width="8.7265625" style="14"/>
    <col min="7686" max="7686" width="45.81640625" style="14" customWidth="1"/>
    <col min="7687" max="7692" width="14.81640625" style="14" customWidth="1"/>
    <col min="7693" max="7941" width="8.7265625" style="14"/>
    <col min="7942" max="7942" width="45.81640625" style="14" customWidth="1"/>
    <col min="7943" max="7948" width="14.81640625" style="14" customWidth="1"/>
    <col min="7949" max="8197" width="8.7265625" style="14"/>
    <col min="8198" max="8198" width="45.81640625" style="14" customWidth="1"/>
    <col min="8199" max="8204" width="14.81640625" style="14" customWidth="1"/>
    <col min="8205" max="8453" width="8.7265625" style="14"/>
    <col min="8454" max="8454" width="45.81640625" style="14" customWidth="1"/>
    <col min="8455" max="8460" width="14.81640625" style="14" customWidth="1"/>
    <col min="8461" max="8709" width="8.7265625" style="14"/>
    <col min="8710" max="8710" width="45.81640625" style="14" customWidth="1"/>
    <col min="8711" max="8716" width="14.81640625" style="14" customWidth="1"/>
    <col min="8717" max="8965" width="8.7265625" style="14"/>
    <col min="8966" max="8966" width="45.81640625" style="14" customWidth="1"/>
    <col min="8967" max="8972" width="14.81640625" style="14" customWidth="1"/>
    <col min="8973" max="9221" width="8.7265625" style="14"/>
    <col min="9222" max="9222" width="45.81640625" style="14" customWidth="1"/>
    <col min="9223" max="9228" width="14.81640625" style="14" customWidth="1"/>
    <col min="9229" max="9477" width="8.7265625" style="14"/>
    <col min="9478" max="9478" width="45.81640625" style="14" customWidth="1"/>
    <col min="9479" max="9484" width="14.81640625" style="14" customWidth="1"/>
    <col min="9485" max="9733" width="8.7265625" style="14"/>
    <col min="9734" max="9734" width="45.81640625" style="14" customWidth="1"/>
    <col min="9735" max="9740" width="14.81640625" style="14" customWidth="1"/>
    <col min="9741" max="9989" width="8.7265625" style="14"/>
    <col min="9990" max="9990" width="45.81640625" style="14" customWidth="1"/>
    <col min="9991" max="9996" width="14.81640625" style="14" customWidth="1"/>
    <col min="9997" max="10245" width="8.7265625" style="14"/>
    <col min="10246" max="10246" width="45.81640625" style="14" customWidth="1"/>
    <col min="10247" max="10252" width="14.81640625" style="14" customWidth="1"/>
    <col min="10253" max="10501" width="8.7265625" style="14"/>
    <col min="10502" max="10502" width="45.81640625" style="14" customWidth="1"/>
    <col min="10503" max="10508" width="14.81640625" style="14" customWidth="1"/>
    <col min="10509" max="10757" width="8.7265625" style="14"/>
    <col min="10758" max="10758" width="45.81640625" style="14" customWidth="1"/>
    <col min="10759" max="10764" width="14.81640625" style="14" customWidth="1"/>
    <col min="10765" max="11013" width="8.7265625" style="14"/>
    <col min="11014" max="11014" width="45.81640625" style="14" customWidth="1"/>
    <col min="11015" max="11020" width="14.81640625" style="14" customWidth="1"/>
    <col min="11021" max="11269" width="8.7265625" style="14"/>
    <col min="11270" max="11270" width="45.81640625" style="14" customWidth="1"/>
    <col min="11271" max="11276" width="14.81640625" style="14" customWidth="1"/>
    <col min="11277" max="11525" width="8.7265625" style="14"/>
    <col min="11526" max="11526" width="45.81640625" style="14" customWidth="1"/>
    <col min="11527" max="11532" width="14.81640625" style="14" customWidth="1"/>
    <col min="11533" max="11781" width="8.7265625" style="14"/>
    <col min="11782" max="11782" width="45.81640625" style="14" customWidth="1"/>
    <col min="11783" max="11788" width="14.81640625" style="14" customWidth="1"/>
    <col min="11789" max="12037" width="8.7265625" style="14"/>
    <col min="12038" max="12038" width="45.81640625" style="14" customWidth="1"/>
    <col min="12039" max="12044" width="14.81640625" style="14" customWidth="1"/>
    <col min="12045" max="12293" width="8.7265625" style="14"/>
    <col min="12294" max="12294" width="45.81640625" style="14" customWidth="1"/>
    <col min="12295" max="12300" width="14.81640625" style="14" customWidth="1"/>
    <col min="12301" max="12549" width="8.7265625" style="14"/>
    <col min="12550" max="12550" width="45.81640625" style="14" customWidth="1"/>
    <col min="12551" max="12556" width="14.81640625" style="14" customWidth="1"/>
    <col min="12557" max="12805" width="8.7265625" style="14"/>
    <col min="12806" max="12806" width="45.81640625" style="14" customWidth="1"/>
    <col min="12807" max="12812" width="14.81640625" style="14" customWidth="1"/>
    <col min="12813" max="13061" width="8.7265625" style="14"/>
    <col min="13062" max="13062" width="45.81640625" style="14" customWidth="1"/>
    <col min="13063" max="13068" width="14.81640625" style="14" customWidth="1"/>
    <col min="13069" max="13317" width="8.7265625" style="14"/>
    <col min="13318" max="13318" width="45.81640625" style="14" customWidth="1"/>
    <col min="13319" max="13324" width="14.81640625" style="14" customWidth="1"/>
    <col min="13325" max="13573" width="8.7265625" style="14"/>
    <col min="13574" max="13574" width="45.81640625" style="14" customWidth="1"/>
    <col min="13575" max="13580" width="14.81640625" style="14" customWidth="1"/>
    <col min="13581" max="13829" width="8.7265625" style="14"/>
    <col min="13830" max="13830" width="45.81640625" style="14" customWidth="1"/>
    <col min="13831" max="13836" width="14.81640625" style="14" customWidth="1"/>
    <col min="13837" max="14085" width="8.7265625" style="14"/>
    <col min="14086" max="14086" width="45.81640625" style="14" customWidth="1"/>
    <col min="14087" max="14092" width="14.81640625" style="14" customWidth="1"/>
    <col min="14093" max="14341" width="8.7265625" style="14"/>
    <col min="14342" max="14342" width="45.81640625" style="14" customWidth="1"/>
    <col min="14343" max="14348" width="14.81640625" style="14" customWidth="1"/>
    <col min="14349" max="14597" width="8.7265625" style="14"/>
    <col min="14598" max="14598" width="45.81640625" style="14" customWidth="1"/>
    <col min="14599" max="14604" width="14.81640625" style="14" customWidth="1"/>
    <col min="14605" max="14853" width="8.7265625" style="14"/>
    <col min="14854" max="14854" width="45.81640625" style="14" customWidth="1"/>
    <col min="14855" max="14860" width="14.81640625" style="14" customWidth="1"/>
    <col min="14861" max="15109" width="8.7265625" style="14"/>
    <col min="15110" max="15110" width="45.81640625" style="14" customWidth="1"/>
    <col min="15111" max="15116" width="14.81640625" style="14" customWidth="1"/>
    <col min="15117" max="15365" width="8.7265625" style="14"/>
    <col min="15366" max="15366" width="45.81640625" style="14" customWidth="1"/>
    <col min="15367" max="15372" width="14.81640625" style="14" customWidth="1"/>
    <col min="15373" max="15621" width="8.7265625" style="14"/>
    <col min="15622" max="15622" width="45.81640625" style="14" customWidth="1"/>
    <col min="15623" max="15628" width="14.81640625" style="14" customWidth="1"/>
    <col min="15629" max="15877" width="8.7265625" style="14"/>
    <col min="15878" max="15878" width="45.81640625" style="14" customWidth="1"/>
    <col min="15879" max="15884" width="14.81640625" style="14" customWidth="1"/>
    <col min="15885" max="16133" width="8.7265625" style="14"/>
    <col min="16134" max="16134" width="45.81640625" style="14" customWidth="1"/>
    <col min="16135" max="16140" width="14.81640625" style="14" customWidth="1"/>
    <col min="16141" max="16384" width="8.7265625" style="14"/>
  </cols>
  <sheetData>
    <row r="4" spans="1:260" x14ac:dyDescent="0.2">
      <c r="A4" s="14" t="s">
        <v>206</v>
      </c>
    </row>
    <row r="5" spans="1:260" ht="17" x14ac:dyDescent="0.35">
      <c r="A5" s="13" t="s">
        <v>10</v>
      </c>
      <c r="B5" s="13"/>
      <c r="C5" s="13"/>
      <c r="D5" s="13"/>
      <c r="E5" s="13"/>
      <c r="F5" s="13"/>
    </row>
    <row r="7" spans="1:260" ht="30.5" x14ac:dyDescent="0.25">
      <c r="A7" s="15" t="s">
        <v>11</v>
      </c>
      <c r="B7" s="15"/>
      <c r="C7" s="15"/>
      <c r="D7" s="15"/>
      <c r="E7" s="15"/>
      <c r="F7" s="15"/>
      <c r="G7" s="16" t="s">
        <v>12</v>
      </c>
      <c r="H7" s="14" t="s">
        <v>13</v>
      </c>
      <c r="I7" s="17" t="s">
        <v>14</v>
      </c>
      <c r="J7" s="16" t="s">
        <v>15</v>
      </c>
      <c r="K7" s="14" t="s">
        <v>16</v>
      </c>
    </row>
    <row r="8" spans="1:260" ht="10.5" x14ac:dyDescent="0.25">
      <c r="A8" s="17"/>
      <c r="B8" s="17"/>
      <c r="C8" s="17"/>
      <c r="D8" s="17"/>
      <c r="E8" s="17"/>
      <c r="F8" s="17"/>
      <c r="G8" s="16" t="s">
        <v>17</v>
      </c>
      <c r="H8" s="14" t="s">
        <v>18</v>
      </c>
      <c r="I8" s="17" t="s">
        <v>14</v>
      </c>
      <c r="J8" s="16" t="s">
        <v>19</v>
      </c>
      <c r="K8" s="14" t="s">
        <v>20</v>
      </c>
    </row>
    <row r="9" spans="1:260" ht="10.5" x14ac:dyDescent="0.25">
      <c r="A9" s="17"/>
      <c r="B9" s="17"/>
      <c r="C9" s="17"/>
      <c r="D9" s="17"/>
      <c r="E9" s="17"/>
      <c r="F9" s="17"/>
      <c r="G9" s="16" t="s">
        <v>21</v>
      </c>
      <c r="H9" s="14" t="s">
        <v>22</v>
      </c>
      <c r="I9" s="17" t="s">
        <v>14</v>
      </c>
      <c r="J9" s="16" t="s">
        <v>23</v>
      </c>
      <c r="K9" s="14" t="s">
        <v>24</v>
      </c>
    </row>
    <row r="10" spans="1:260" ht="10.5" x14ac:dyDescent="0.25">
      <c r="A10" s="17"/>
      <c r="B10" s="17"/>
      <c r="C10" s="17"/>
      <c r="D10" s="17"/>
      <c r="E10" s="17"/>
      <c r="F10" s="17"/>
      <c r="G10" s="16" t="s">
        <v>25</v>
      </c>
      <c r="H10" s="14" t="s">
        <v>26</v>
      </c>
      <c r="I10" s="17" t="s">
        <v>14</v>
      </c>
      <c r="J10" s="16" t="s">
        <v>27</v>
      </c>
      <c r="K10" s="18" t="s">
        <v>28</v>
      </c>
    </row>
    <row r="11" spans="1:260" ht="10.5" x14ac:dyDescent="0.25">
      <c r="A11" s="17"/>
      <c r="B11" s="17"/>
      <c r="C11" s="17"/>
      <c r="D11" s="17"/>
      <c r="E11" s="17"/>
      <c r="F11" s="17"/>
      <c r="G11" s="16" t="s">
        <v>29</v>
      </c>
      <c r="H11" s="14" t="s">
        <v>30</v>
      </c>
      <c r="I11" s="17" t="s">
        <v>14</v>
      </c>
      <c r="J11" s="19"/>
      <c r="K11" s="19"/>
    </row>
    <row r="14" spans="1:260" x14ac:dyDescent="0.2">
      <c r="A14" s="20" t="s">
        <v>31</v>
      </c>
      <c r="B14" s="20"/>
      <c r="C14" s="20"/>
      <c r="D14" s="20"/>
      <c r="E14" s="20"/>
      <c r="F14" s="20"/>
      <c r="G14" s="20"/>
      <c r="H14" s="20"/>
      <c r="I14" s="20"/>
      <c r="J14" s="20"/>
      <c r="K14" s="20"/>
      <c r="L14" s="20"/>
      <c r="M14" s="21"/>
      <c r="N14" s="21"/>
      <c r="O14" s="21"/>
      <c r="P14" s="21"/>
      <c r="Q14" s="21"/>
      <c r="R14" s="21"/>
      <c r="S14" s="21"/>
      <c r="T14" s="21"/>
      <c r="U14" s="21"/>
      <c r="V14" s="21"/>
      <c r="W14" s="21"/>
      <c r="X14" s="21"/>
      <c r="Y14" s="21"/>
      <c r="Z14" s="21"/>
      <c r="AA14" s="21"/>
      <c r="AB14" s="21"/>
      <c r="AC14" s="21"/>
      <c r="AD14" s="21"/>
      <c r="AE14" s="21"/>
      <c r="AF14" s="21"/>
      <c r="AG14" s="21"/>
      <c r="AH14" s="21"/>
      <c r="AI14" s="21"/>
      <c r="AJ14" s="21"/>
      <c r="AK14" s="21"/>
      <c r="AL14" s="21"/>
      <c r="AM14" s="21"/>
      <c r="AN14" s="21"/>
      <c r="AO14" s="21"/>
      <c r="AP14" s="21"/>
      <c r="AQ14" s="21"/>
      <c r="AR14" s="21"/>
      <c r="AS14" s="21"/>
      <c r="AT14" s="21"/>
      <c r="AU14" s="21"/>
      <c r="AV14" s="21"/>
      <c r="AW14" s="21"/>
      <c r="AX14" s="21"/>
      <c r="AY14" s="21"/>
      <c r="AZ14" s="21"/>
      <c r="BA14" s="21"/>
      <c r="BB14" s="21"/>
      <c r="BC14" s="21"/>
      <c r="BD14" s="21"/>
      <c r="BE14" s="21"/>
      <c r="BF14" s="21"/>
      <c r="BG14" s="21"/>
      <c r="BH14" s="21"/>
      <c r="BI14" s="21"/>
      <c r="BJ14" s="21"/>
      <c r="BK14" s="21"/>
      <c r="BL14" s="21"/>
      <c r="BM14" s="21"/>
      <c r="BN14" s="21"/>
      <c r="BO14" s="21"/>
      <c r="BP14" s="21"/>
      <c r="BQ14" s="21"/>
      <c r="BR14" s="21"/>
      <c r="BS14" s="21"/>
      <c r="BT14" s="21"/>
      <c r="BU14" s="21"/>
      <c r="BV14" s="21"/>
      <c r="BW14" s="21"/>
      <c r="BX14" s="21"/>
      <c r="BY14" s="21"/>
      <c r="BZ14" s="21"/>
      <c r="CA14" s="21"/>
      <c r="CB14" s="21"/>
      <c r="CC14" s="21"/>
      <c r="CD14" s="21"/>
      <c r="CE14" s="21"/>
      <c r="CF14" s="21"/>
      <c r="CG14" s="21"/>
      <c r="CH14" s="21"/>
      <c r="CI14" s="21"/>
      <c r="CJ14" s="21"/>
      <c r="CK14" s="21"/>
      <c r="CL14" s="21"/>
      <c r="CM14" s="21"/>
      <c r="CN14" s="21"/>
      <c r="CO14" s="21"/>
      <c r="CP14" s="21"/>
      <c r="CQ14" s="21"/>
      <c r="CR14" s="21"/>
      <c r="CS14" s="21"/>
      <c r="CT14" s="21"/>
      <c r="CU14" s="21"/>
      <c r="CV14" s="21"/>
      <c r="CW14" s="21"/>
      <c r="CX14" s="21"/>
      <c r="CY14" s="21"/>
      <c r="CZ14" s="21"/>
      <c r="DA14" s="21"/>
      <c r="DB14" s="21"/>
      <c r="DC14" s="21"/>
      <c r="DD14" s="21"/>
      <c r="DE14" s="21"/>
      <c r="DF14" s="21"/>
      <c r="DG14" s="21"/>
      <c r="DH14" s="21"/>
      <c r="DI14" s="21"/>
      <c r="DJ14" s="21"/>
      <c r="DK14" s="21"/>
      <c r="DL14" s="21"/>
      <c r="DM14" s="21"/>
      <c r="DN14" s="21"/>
      <c r="DO14" s="21"/>
      <c r="DP14" s="21"/>
      <c r="DQ14" s="21"/>
      <c r="DR14" s="21"/>
      <c r="DS14" s="21"/>
      <c r="DT14" s="21"/>
      <c r="DU14" s="21"/>
      <c r="DV14" s="21"/>
      <c r="DW14" s="21"/>
      <c r="DX14" s="21"/>
      <c r="DY14" s="21"/>
      <c r="DZ14" s="21"/>
      <c r="EA14" s="21"/>
      <c r="EB14" s="21"/>
      <c r="EC14" s="21"/>
      <c r="ED14" s="21"/>
      <c r="EE14" s="21"/>
      <c r="EF14" s="21"/>
      <c r="EG14" s="21"/>
      <c r="EH14" s="21"/>
      <c r="EI14" s="21"/>
      <c r="EJ14" s="21"/>
      <c r="EK14" s="21"/>
      <c r="EL14" s="21"/>
      <c r="EM14" s="21"/>
      <c r="EN14" s="21"/>
      <c r="EO14" s="21"/>
      <c r="EP14" s="21"/>
      <c r="EQ14" s="21"/>
      <c r="ER14" s="21"/>
      <c r="ES14" s="21"/>
      <c r="ET14" s="21"/>
      <c r="EU14" s="21"/>
      <c r="EV14" s="21"/>
      <c r="EW14" s="21"/>
      <c r="EX14" s="21"/>
      <c r="EY14" s="21"/>
      <c r="EZ14" s="21"/>
      <c r="FA14" s="21"/>
      <c r="FB14" s="21"/>
      <c r="FC14" s="21"/>
      <c r="FD14" s="21"/>
      <c r="FE14" s="21"/>
      <c r="FF14" s="21"/>
      <c r="FG14" s="21"/>
      <c r="FH14" s="21"/>
      <c r="FI14" s="21"/>
      <c r="FJ14" s="21"/>
      <c r="FK14" s="21"/>
      <c r="FL14" s="21"/>
      <c r="FM14" s="21"/>
      <c r="FN14" s="21"/>
      <c r="FO14" s="21"/>
      <c r="FP14" s="21"/>
      <c r="FQ14" s="21"/>
      <c r="FR14" s="21"/>
      <c r="FS14" s="21"/>
      <c r="FT14" s="21"/>
      <c r="FU14" s="21"/>
      <c r="FV14" s="21"/>
      <c r="FW14" s="21"/>
      <c r="FX14" s="21"/>
      <c r="FY14" s="21"/>
      <c r="FZ14" s="21"/>
      <c r="GA14" s="21"/>
      <c r="GB14" s="21"/>
      <c r="GC14" s="21"/>
      <c r="GD14" s="21"/>
      <c r="GE14" s="21"/>
      <c r="GF14" s="21"/>
      <c r="GG14" s="21"/>
      <c r="GH14" s="21"/>
      <c r="GI14" s="21"/>
      <c r="GJ14" s="21"/>
      <c r="GK14" s="21"/>
      <c r="GL14" s="21"/>
      <c r="GM14" s="21"/>
      <c r="GN14" s="21"/>
      <c r="GO14" s="21"/>
      <c r="GP14" s="21"/>
      <c r="GQ14" s="21"/>
      <c r="GR14" s="21"/>
      <c r="GS14" s="21"/>
      <c r="GT14" s="21"/>
      <c r="GU14" s="21"/>
      <c r="GV14" s="21"/>
      <c r="GW14" s="21"/>
      <c r="GX14" s="21"/>
      <c r="GY14" s="21"/>
      <c r="GZ14" s="21"/>
      <c r="HA14" s="21"/>
      <c r="HB14" s="21"/>
      <c r="HC14" s="21"/>
      <c r="HD14" s="21"/>
      <c r="HE14" s="21"/>
      <c r="HF14" s="21"/>
      <c r="HG14" s="21"/>
      <c r="HH14" s="21"/>
      <c r="HI14" s="21"/>
      <c r="HJ14" s="21"/>
      <c r="HK14" s="21"/>
      <c r="HL14" s="21"/>
      <c r="HM14" s="21"/>
      <c r="HN14" s="21"/>
      <c r="HO14" s="21"/>
      <c r="HP14" s="21"/>
      <c r="HQ14" s="21"/>
      <c r="HR14" s="21"/>
      <c r="HS14" s="21"/>
      <c r="HT14" s="21"/>
      <c r="HU14" s="21"/>
      <c r="HV14" s="21"/>
      <c r="HW14" s="21"/>
      <c r="HX14" s="21"/>
      <c r="HY14" s="21"/>
      <c r="HZ14" s="21"/>
      <c r="IA14" s="21"/>
      <c r="IB14" s="21"/>
      <c r="IC14" s="21"/>
      <c r="ID14" s="21"/>
      <c r="IE14" s="21"/>
      <c r="IF14" s="21"/>
      <c r="IG14" s="21"/>
      <c r="IH14" s="21"/>
      <c r="II14" s="21"/>
      <c r="IJ14" s="21"/>
      <c r="IK14" s="21"/>
      <c r="IL14" s="21"/>
      <c r="IM14" s="21"/>
      <c r="IN14" s="21"/>
      <c r="IO14" s="21"/>
      <c r="IP14" s="21"/>
      <c r="IQ14" s="21"/>
      <c r="IR14" s="21"/>
      <c r="IS14" s="21"/>
      <c r="IT14" s="21"/>
      <c r="IU14" s="21"/>
      <c r="IV14" s="21"/>
      <c r="IW14" s="21"/>
      <c r="IX14" s="21"/>
      <c r="IY14" s="21"/>
      <c r="IZ14" s="21"/>
    </row>
    <row r="15" spans="1:260" ht="31.5" x14ac:dyDescent="0.25">
      <c r="A15" s="22" t="s">
        <v>32</v>
      </c>
      <c r="B15" s="23" t="s">
        <v>264</v>
      </c>
      <c r="C15" s="23" t="s">
        <v>265</v>
      </c>
      <c r="D15" s="23" t="s">
        <v>266</v>
      </c>
      <c r="E15" s="23" t="s">
        <v>259</v>
      </c>
      <c r="F15" s="23" t="s">
        <v>260</v>
      </c>
      <c r="G15" s="23" t="s">
        <v>33</v>
      </c>
      <c r="H15" s="23" t="s">
        <v>34</v>
      </c>
      <c r="I15" s="23" t="s">
        <v>35</v>
      </c>
      <c r="J15" s="23" t="s">
        <v>36</v>
      </c>
      <c r="K15" s="23" t="s">
        <v>37</v>
      </c>
      <c r="L15" s="23" t="s">
        <v>38</v>
      </c>
    </row>
    <row r="16" spans="1:260" x14ac:dyDescent="0.2">
      <c r="A16" s="24" t="s">
        <v>39</v>
      </c>
      <c r="B16" s="25" t="s">
        <v>40</v>
      </c>
      <c r="C16" s="25" t="s">
        <v>40</v>
      </c>
      <c r="D16" s="25" t="s">
        <v>40</v>
      </c>
      <c r="E16" s="25" t="s">
        <v>40</v>
      </c>
      <c r="F16" s="25" t="s">
        <v>40</v>
      </c>
      <c r="G16" s="25" t="s">
        <v>40</v>
      </c>
      <c r="H16" s="25" t="s">
        <v>40</v>
      </c>
      <c r="I16" s="25" t="s">
        <v>40</v>
      </c>
      <c r="J16" s="25" t="s">
        <v>40</v>
      </c>
      <c r="K16" s="25" t="s">
        <v>40</v>
      </c>
      <c r="L16" s="25" t="s">
        <v>40</v>
      </c>
    </row>
    <row r="17" spans="1:12" ht="10.5" x14ac:dyDescent="0.2">
      <c r="A17" s="26" t="s">
        <v>41</v>
      </c>
      <c r="B17" s="17"/>
      <c r="C17" s="17"/>
      <c r="D17" s="17"/>
      <c r="E17" s="17"/>
      <c r="F17" s="17"/>
      <c r="G17" s="17"/>
      <c r="H17" s="17"/>
      <c r="I17" s="17"/>
      <c r="J17" s="17"/>
      <c r="K17" s="17"/>
      <c r="L17" s="17"/>
    </row>
    <row r="18" spans="1:12" x14ac:dyDescent="0.2">
      <c r="A18" s="17" t="s">
        <v>0</v>
      </c>
      <c r="B18" s="27">
        <v>182795</v>
      </c>
      <c r="C18" s="27">
        <v>233715</v>
      </c>
      <c r="D18" s="27">
        <v>215639</v>
      </c>
      <c r="E18" s="27">
        <v>229234</v>
      </c>
      <c r="F18" s="27">
        <v>265595</v>
      </c>
      <c r="G18" s="27">
        <v>260174</v>
      </c>
      <c r="H18" s="27">
        <v>274515</v>
      </c>
      <c r="I18" s="27">
        <v>365817</v>
      </c>
      <c r="J18" s="27">
        <v>394328</v>
      </c>
      <c r="K18" s="27">
        <v>383285</v>
      </c>
      <c r="L18" s="27">
        <v>385706</v>
      </c>
    </row>
    <row r="19" spans="1:12" x14ac:dyDescent="0.2">
      <c r="A19" s="17" t="s">
        <v>42</v>
      </c>
      <c r="B19" s="27" t="s">
        <v>43</v>
      </c>
      <c r="C19" s="27" t="s">
        <v>43</v>
      </c>
      <c r="D19" s="27" t="s">
        <v>43</v>
      </c>
      <c r="E19" s="27" t="s">
        <v>43</v>
      </c>
      <c r="F19" s="27" t="s">
        <v>43</v>
      </c>
      <c r="G19" s="27" t="s">
        <v>43</v>
      </c>
      <c r="H19" s="27" t="s">
        <v>43</v>
      </c>
      <c r="I19" s="27" t="s">
        <v>43</v>
      </c>
      <c r="J19" s="27" t="s">
        <v>43</v>
      </c>
      <c r="K19" s="27" t="s">
        <v>43</v>
      </c>
      <c r="L19" s="27" t="s">
        <v>43</v>
      </c>
    </row>
    <row r="20" spans="1:12" ht="10.5" x14ac:dyDescent="0.2">
      <c r="A20" s="26" t="s">
        <v>44</v>
      </c>
      <c r="B20" s="64">
        <v>182795</v>
      </c>
      <c r="C20" s="64">
        <v>233715</v>
      </c>
      <c r="D20" s="64">
        <v>215639</v>
      </c>
      <c r="E20" s="64">
        <v>229234</v>
      </c>
      <c r="F20" s="64">
        <v>265595</v>
      </c>
      <c r="G20" s="28">
        <v>260174</v>
      </c>
      <c r="H20" s="28">
        <v>274515</v>
      </c>
      <c r="I20" s="28">
        <v>365817</v>
      </c>
      <c r="J20" s="28">
        <v>394328</v>
      </c>
      <c r="K20" s="28">
        <v>383285</v>
      </c>
      <c r="L20" s="28">
        <v>385706</v>
      </c>
    </row>
    <row r="21" spans="1:12" x14ac:dyDescent="0.2">
      <c r="A21" s="17"/>
      <c r="B21" s="17"/>
      <c r="C21" s="17"/>
      <c r="D21" s="17"/>
      <c r="E21" s="17"/>
      <c r="F21" s="17"/>
      <c r="G21" s="17"/>
      <c r="H21" s="17"/>
      <c r="I21" s="17"/>
      <c r="J21" s="17"/>
      <c r="K21" s="17"/>
      <c r="L21" s="17"/>
    </row>
    <row r="22" spans="1:12" x14ac:dyDescent="0.2">
      <c r="A22" s="17" t="s">
        <v>45</v>
      </c>
      <c r="B22" s="27">
        <v>112258</v>
      </c>
      <c r="C22" s="27">
        <v>140089</v>
      </c>
      <c r="D22" s="27">
        <v>131376</v>
      </c>
      <c r="E22" s="27">
        <v>141048</v>
      </c>
      <c r="F22" s="27">
        <v>163756</v>
      </c>
      <c r="G22" s="27">
        <v>161782</v>
      </c>
      <c r="H22" s="27">
        <v>169559</v>
      </c>
      <c r="I22" s="27">
        <v>212981</v>
      </c>
      <c r="J22" s="27">
        <v>223546</v>
      </c>
      <c r="K22" s="27">
        <v>214137</v>
      </c>
      <c r="L22" s="27">
        <v>212035</v>
      </c>
    </row>
    <row r="23" spans="1:12" ht="10.5" x14ac:dyDescent="0.2">
      <c r="A23" s="26" t="s">
        <v>46</v>
      </c>
      <c r="B23" s="64">
        <v>70537</v>
      </c>
      <c r="C23" s="64">
        <v>93626</v>
      </c>
      <c r="D23" s="64">
        <v>84263</v>
      </c>
      <c r="E23" s="64">
        <v>88186</v>
      </c>
      <c r="F23" s="64">
        <v>101839</v>
      </c>
      <c r="G23" s="28">
        <v>98392</v>
      </c>
      <c r="H23" s="28">
        <v>104956</v>
      </c>
      <c r="I23" s="28">
        <v>152836</v>
      </c>
      <c r="J23" s="28">
        <v>170782</v>
      </c>
      <c r="K23" s="28">
        <v>169148</v>
      </c>
      <c r="L23" s="28">
        <v>173671</v>
      </c>
    </row>
    <row r="24" spans="1:12" x14ac:dyDescent="0.2">
      <c r="A24" s="17"/>
      <c r="B24" s="17"/>
      <c r="C24" s="17"/>
      <c r="D24" s="17"/>
      <c r="E24" s="17"/>
      <c r="F24" s="17"/>
      <c r="G24" s="17"/>
      <c r="H24" s="17"/>
      <c r="I24" s="17"/>
      <c r="J24" s="17"/>
      <c r="K24" s="17"/>
      <c r="L24" s="17"/>
    </row>
    <row r="25" spans="1:12" x14ac:dyDescent="0.2">
      <c r="A25" s="17" t="s">
        <v>47</v>
      </c>
      <c r="B25" s="27">
        <v>11993</v>
      </c>
      <c r="C25" s="27">
        <v>14329</v>
      </c>
      <c r="D25" s="27">
        <v>14194</v>
      </c>
      <c r="E25" s="27">
        <v>15261</v>
      </c>
      <c r="F25" s="27">
        <v>16705</v>
      </c>
      <c r="G25" s="27">
        <v>18245</v>
      </c>
      <c r="H25" s="27">
        <v>19916</v>
      </c>
      <c r="I25" s="27">
        <v>21973</v>
      </c>
      <c r="J25" s="27">
        <v>25094</v>
      </c>
      <c r="K25" s="27">
        <v>24932</v>
      </c>
      <c r="L25" s="27">
        <v>25111</v>
      </c>
    </row>
    <row r="26" spans="1:12" x14ac:dyDescent="0.2">
      <c r="A26" s="17" t="s">
        <v>48</v>
      </c>
      <c r="B26" s="27">
        <v>6041</v>
      </c>
      <c r="C26" s="27">
        <v>8067</v>
      </c>
      <c r="D26" s="27">
        <v>10045</v>
      </c>
      <c r="E26" s="27">
        <v>11581</v>
      </c>
      <c r="F26" s="27">
        <v>14236</v>
      </c>
      <c r="G26" s="27">
        <v>16217</v>
      </c>
      <c r="H26" s="27">
        <v>18752</v>
      </c>
      <c r="I26" s="27">
        <v>21914</v>
      </c>
      <c r="J26" s="27">
        <v>26251</v>
      </c>
      <c r="K26" s="27">
        <v>29915</v>
      </c>
      <c r="L26" s="27">
        <v>29902</v>
      </c>
    </row>
    <row r="27" spans="1:12" x14ac:dyDescent="0.2">
      <c r="A27" s="17" t="s">
        <v>49</v>
      </c>
      <c r="B27" s="27" t="s">
        <v>43</v>
      </c>
      <c r="C27" s="27" t="s">
        <v>43</v>
      </c>
      <c r="D27" s="27" t="s">
        <v>43</v>
      </c>
      <c r="E27" s="27" t="s">
        <v>43</v>
      </c>
      <c r="F27" s="27" t="s">
        <v>43</v>
      </c>
      <c r="G27" s="27" t="s">
        <v>43</v>
      </c>
      <c r="H27" s="27" t="s">
        <v>43</v>
      </c>
      <c r="I27" s="27" t="s">
        <v>43</v>
      </c>
      <c r="J27" s="27" t="s">
        <v>43</v>
      </c>
      <c r="K27" s="27" t="s">
        <v>43</v>
      </c>
      <c r="L27" s="27" t="s">
        <v>43</v>
      </c>
    </row>
    <row r="28" spans="1:12" x14ac:dyDescent="0.2">
      <c r="A28" s="17" t="s">
        <v>50</v>
      </c>
      <c r="B28" s="27" t="s">
        <v>43</v>
      </c>
      <c r="C28" s="27" t="s">
        <v>43</v>
      </c>
      <c r="D28" s="27" t="s">
        <v>43</v>
      </c>
      <c r="E28" s="27" t="s">
        <v>43</v>
      </c>
      <c r="F28" s="27" t="s">
        <v>43</v>
      </c>
      <c r="G28" s="27" t="s">
        <v>43</v>
      </c>
      <c r="H28" s="27" t="s">
        <v>43</v>
      </c>
      <c r="I28" s="27" t="s">
        <v>43</v>
      </c>
      <c r="J28" s="27" t="s">
        <v>43</v>
      </c>
      <c r="K28" s="27" t="s">
        <v>43</v>
      </c>
      <c r="L28" s="27" t="s">
        <v>43</v>
      </c>
    </row>
    <row r="29" spans="1:12" x14ac:dyDescent="0.2">
      <c r="A29" s="17"/>
      <c r="B29" s="17"/>
      <c r="C29" s="17"/>
      <c r="D29" s="17"/>
      <c r="E29" s="17"/>
      <c r="F29" s="17"/>
      <c r="G29" s="17"/>
      <c r="H29" s="17"/>
      <c r="I29" s="17"/>
      <c r="J29" s="17"/>
      <c r="K29" s="17"/>
      <c r="L29" s="17"/>
    </row>
    <row r="30" spans="1:12" ht="10.5" x14ac:dyDescent="0.2">
      <c r="A30" s="26" t="s">
        <v>51</v>
      </c>
      <c r="B30" s="64">
        <v>18034</v>
      </c>
      <c r="C30" s="64">
        <v>22396</v>
      </c>
      <c r="D30" s="64">
        <v>24239</v>
      </c>
      <c r="E30" s="64">
        <v>26842</v>
      </c>
      <c r="F30" s="64">
        <v>30941</v>
      </c>
      <c r="G30" s="28">
        <v>34462</v>
      </c>
      <c r="H30" s="28">
        <v>38668</v>
      </c>
      <c r="I30" s="28">
        <v>43887</v>
      </c>
      <c r="J30" s="28">
        <v>51345</v>
      </c>
      <c r="K30" s="28">
        <v>54847</v>
      </c>
      <c r="L30" s="28">
        <v>55013</v>
      </c>
    </row>
    <row r="31" spans="1:12" x14ac:dyDescent="0.2">
      <c r="A31" s="17"/>
      <c r="B31" s="17"/>
      <c r="C31" s="17"/>
      <c r="D31" s="17"/>
      <c r="E31" s="17"/>
      <c r="F31" s="17"/>
      <c r="G31" s="17"/>
      <c r="H31" s="17"/>
      <c r="I31" s="17"/>
      <c r="J31" s="17"/>
      <c r="K31" s="17"/>
      <c r="L31" s="17"/>
    </row>
    <row r="32" spans="1:12" ht="10.5" x14ac:dyDescent="0.2">
      <c r="A32" s="26" t="s">
        <v>52</v>
      </c>
      <c r="B32" s="29">
        <v>52503</v>
      </c>
      <c r="C32" s="29">
        <v>71230</v>
      </c>
      <c r="D32" s="29">
        <v>60024</v>
      </c>
      <c r="E32" s="29">
        <v>61344</v>
      </c>
      <c r="F32" s="29">
        <v>70898</v>
      </c>
      <c r="G32" s="29">
        <v>63930</v>
      </c>
      <c r="H32" s="29">
        <v>66288</v>
      </c>
      <c r="I32" s="29">
        <v>108949</v>
      </c>
      <c r="J32" s="29">
        <v>119437</v>
      </c>
      <c r="K32" s="29">
        <v>114301</v>
      </c>
      <c r="L32" s="29">
        <v>118658</v>
      </c>
    </row>
    <row r="33" spans="1:12" x14ac:dyDescent="0.2">
      <c r="A33" s="17"/>
      <c r="B33" s="17"/>
      <c r="C33" s="17"/>
      <c r="D33" s="17"/>
      <c r="E33" s="17"/>
      <c r="F33" s="17"/>
      <c r="G33" s="17"/>
      <c r="H33" s="17"/>
      <c r="I33" s="17"/>
      <c r="J33" s="17"/>
      <c r="K33" s="17"/>
      <c r="L33" s="17"/>
    </row>
    <row r="34" spans="1:12" x14ac:dyDescent="0.2">
      <c r="A34" s="17" t="s">
        <v>53</v>
      </c>
      <c r="B34" s="27">
        <v>-384</v>
      </c>
      <c r="C34" s="27">
        <v>-733</v>
      </c>
      <c r="D34" s="27">
        <v>-1456</v>
      </c>
      <c r="E34" s="27">
        <v>-2323</v>
      </c>
      <c r="F34" s="27">
        <v>-3240</v>
      </c>
      <c r="G34" s="27">
        <v>-3576</v>
      </c>
      <c r="H34" s="27">
        <v>-2873</v>
      </c>
      <c r="I34" s="27">
        <v>-2645</v>
      </c>
      <c r="J34" s="27">
        <v>-2931</v>
      </c>
      <c r="K34" s="27">
        <v>-3933</v>
      </c>
      <c r="L34" s="27">
        <v>-3933</v>
      </c>
    </row>
    <row r="35" spans="1:12" x14ac:dyDescent="0.2">
      <c r="A35" s="17" t="s">
        <v>54</v>
      </c>
      <c r="B35" s="27">
        <v>1795</v>
      </c>
      <c r="C35" s="27">
        <v>2921</v>
      </c>
      <c r="D35" s="27">
        <v>3999</v>
      </c>
      <c r="E35" s="27">
        <v>5201</v>
      </c>
      <c r="F35" s="27">
        <v>5686</v>
      </c>
      <c r="G35" s="27">
        <v>4961</v>
      </c>
      <c r="H35" s="27">
        <v>3763</v>
      </c>
      <c r="I35" s="27">
        <v>2843</v>
      </c>
      <c r="J35" s="27">
        <v>2825</v>
      </c>
      <c r="K35" s="27">
        <v>3750</v>
      </c>
      <c r="L35" s="27">
        <v>3750</v>
      </c>
    </row>
    <row r="36" spans="1:12" ht="10.5" x14ac:dyDescent="0.2">
      <c r="A36" s="26" t="s">
        <v>55</v>
      </c>
      <c r="B36" s="64">
        <v>1411</v>
      </c>
      <c r="C36" s="64">
        <v>2188</v>
      </c>
      <c r="D36" s="64">
        <v>2543</v>
      </c>
      <c r="E36" s="64">
        <v>2878</v>
      </c>
      <c r="F36" s="64">
        <v>2446</v>
      </c>
      <c r="G36" s="28">
        <v>1385</v>
      </c>
      <c r="H36" s="28">
        <v>890</v>
      </c>
      <c r="I36" s="28">
        <v>198</v>
      </c>
      <c r="J36" s="28">
        <v>-106</v>
      </c>
      <c r="K36" s="28">
        <v>-183</v>
      </c>
      <c r="L36" s="28">
        <v>-183</v>
      </c>
    </row>
    <row r="37" spans="1:12" x14ac:dyDescent="0.2">
      <c r="A37" s="17"/>
      <c r="B37" s="17"/>
      <c r="C37" s="17"/>
      <c r="D37" s="17"/>
      <c r="E37" s="17"/>
      <c r="F37" s="17"/>
      <c r="G37" s="17"/>
      <c r="H37" s="17"/>
      <c r="I37" s="17"/>
      <c r="J37" s="17"/>
      <c r="K37" s="17"/>
      <c r="L37" s="17"/>
    </row>
    <row r="38" spans="1:12" x14ac:dyDescent="0.2">
      <c r="A38" s="17" t="s">
        <v>56</v>
      </c>
      <c r="B38" s="27">
        <v>-431</v>
      </c>
      <c r="C38" s="27">
        <v>-903</v>
      </c>
      <c r="D38" s="27">
        <v>-1195</v>
      </c>
      <c r="E38" s="27">
        <v>-133</v>
      </c>
      <c r="F38" s="27">
        <v>-441</v>
      </c>
      <c r="G38" s="27">
        <v>422</v>
      </c>
      <c r="H38" s="27">
        <v>-87</v>
      </c>
      <c r="I38" s="27">
        <v>60</v>
      </c>
      <c r="J38" s="27">
        <v>-228</v>
      </c>
      <c r="K38" s="27">
        <v>-382</v>
      </c>
      <c r="L38" s="27">
        <v>-39</v>
      </c>
    </row>
    <row r="39" spans="1:12" ht="10.5" x14ac:dyDescent="0.2">
      <c r="A39" s="26" t="s">
        <v>57</v>
      </c>
      <c r="B39" s="64">
        <v>53483</v>
      </c>
      <c r="C39" s="64">
        <v>72515</v>
      </c>
      <c r="D39" s="64">
        <v>61372</v>
      </c>
      <c r="E39" s="64">
        <v>64089</v>
      </c>
      <c r="F39" s="64">
        <v>72903</v>
      </c>
      <c r="G39" s="28">
        <v>65737</v>
      </c>
      <c r="H39" s="28">
        <v>67091</v>
      </c>
      <c r="I39" s="28">
        <v>109207</v>
      </c>
      <c r="J39" s="28">
        <v>119103</v>
      </c>
      <c r="K39" s="28">
        <v>113736</v>
      </c>
      <c r="L39" s="28">
        <v>118436</v>
      </c>
    </row>
    <row r="40" spans="1:12" x14ac:dyDescent="0.2">
      <c r="A40" s="17"/>
      <c r="B40" s="17"/>
      <c r="C40" s="17"/>
      <c r="D40" s="17"/>
      <c r="E40" s="17"/>
      <c r="F40" s="17"/>
      <c r="G40" s="17"/>
      <c r="H40" s="47"/>
      <c r="I40" s="17"/>
      <c r="J40" s="17"/>
      <c r="K40" s="17"/>
      <c r="L40" s="17"/>
    </row>
    <row r="41" spans="1:12" x14ac:dyDescent="0.2">
      <c r="A41" s="17" t="s">
        <v>58</v>
      </c>
      <c r="B41" s="27" t="s">
        <v>43</v>
      </c>
      <c r="C41" s="27" t="s">
        <v>43</v>
      </c>
      <c r="D41" s="27" t="s">
        <v>43</v>
      </c>
      <c r="E41" s="27" t="s">
        <v>43</v>
      </c>
      <c r="F41" s="27" t="s">
        <v>43</v>
      </c>
      <c r="G41" s="27" t="s">
        <v>43</v>
      </c>
      <c r="H41" s="27" t="s">
        <v>43</v>
      </c>
      <c r="I41" s="27" t="s">
        <v>43</v>
      </c>
      <c r="J41" s="27" t="s">
        <v>43</v>
      </c>
      <c r="K41" s="27" t="s">
        <v>43</v>
      </c>
      <c r="L41" s="27" t="s">
        <v>43</v>
      </c>
    </row>
    <row r="42" spans="1:12" x14ac:dyDescent="0.2">
      <c r="A42" s="17" t="s">
        <v>59</v>
      </c>
      <c r="B42" s="27" t="s">
        <v>43</v>
      </c>
      <c r="C42" s="27" t="s">
        <v>43</v>
      </c>
      <c r="D42" s="27" t="s">
        <v>43</v>
      </c>
      <c r="E42" s="27" t="s">
        <v>43</v>
      </c>
      <c r="F42" s="27" t="s">
        <v>43</v>
      </c>
      <c r="G42" s="27" t="s">
        <v>43</v>
      </c>
      <c r="H42" s="27" t="s">
        <v>43</v>
      </c>
      <c r="I42" s="27" t="s">
        <v>43</v>
      </c>
      <c r="J42" s="27" t="s">
        <v>43</v>
      </c>
      <c r="K42" s="27" t="s">
        <v>43</v>
      </c>
      <c r="L42" s="27" t="s">
        <v>43</v>
      </c>
    </row>
    <row r="43" spans="1:12" ht="10.5" x14ac:dyDescent="0.2">
      <c r="A43" s="26" t="s">
        <v>60</v>
      </c>
      <c r="B43" s="64">
        <v>53483</v>
      </c>
      <c r="C43" s="64">
        <v>72515</v>
      </c>
      <c r="D43" s="64">
        <v>61372</v>
      </c>
      <c r="E43" s="64">
        <v>64089</v>
      </c>
      <c r="F43" s="64">
        <v>72903</v>
      </c>
      <c r="G43" s="28">
        <v>65737</v>
      </c>
      <c r="H43" s="28">
        <v>67091</v>
      </c>
      <c r="I43" s="28">
        <v>109207</v>
      </c>
      <c r="J43" s="28">
        <v>119103</v>
      </c>
      <c r="K43" s="28">
        <v>113736</v>
      </c>
      <c r="L43" s="28">
        <v>118436</v>
      </c>
    </row>
    <row r="44" spans="1:12" x14ac:dyDescent="0.2">
      <c r="A44" s="17"/>
      <c r="B44" s="17"/>
      <c r="C44" s="17"/>
      <c r="D44" s="17"/>
      <c r="E44" s="17"/>
      <c r="F44" s="17"/>
      <c r="G44" s="17"/>
      <c r="H44" s="17"/>
      <c r="I44" s="17"/>
      <c r="J44" s="17"/>
      <c r="K44" s="17"/>
      <c r="L44" s="17"/>
    </row>
    <row r="45" spans="1:12" x14ac:dyDescent="0.2">
      <c r="A45" s="17" t="s">
        <v>61</v>
      </c>
      <c r="B45" s="27">
        <v>13973</v>
      </c>
      <c r="C45" s="27">
        <v>19121</v>
      </c>
      <c r="D45" s="27">
        <v>15685</v>
      </c>
      <c r="E45" s="27">
        <v>15738</v>
      </c>
      <c r="F45" s="27">
        <v>13372</v>
      </c>
      <c r="G45" s="27">
        <v>10481</v>
      </c>
      <c r="H45" s="27">
        <v>9680</v>
      </c>
      <c r="I45" s="27">
        <v>14527</v>
      </c>
      <c r="J45" s="27">
        <v>19300</v>
      </c>
      <c r="K45" s="27">
        <v>16741</v>
      </c>
      <c r="L45" s="27">
        <v>17523</v>
      </c>
    </row>
    <row r="46" spans="1:12" ht="10.5" x14ac:dyDescent="0.2">
      <c r="A46" s="26" t="s">
        <v>62</v>
      </c>
      <c r="B46" s="64">
        <v>39510</v>
      </c>
      <c r="C46" s="64">
        <v>53394</v>
      </c>
      <c r="D46" s="64">
        <v>45687</v>
      </c>
      <c r="E46" s="64">
        <v>48351</v>
      </c>
      <c r="F46" s="64">
        <v>59531</v>
      </c>
      <c r="G46" s="28">
        <v>55256</v>
      </c>
      <c r="H46" s="28">
        <v>57411</v>
      </c>
      <c r="I46" s="28">
        <v>94680</v>
      </c>
      <c r="J46" s="28">
        <v>99803</v>
      </c>
      <c r="K46" s="28">
        <v>96995</v>
      </c>
      <c r="L46" s="28">
        <v>100913</v>
      </c>
    </row>
    <row r="47" spans="1:12" x14ac:dyDescent="0.2">
      <c r="A47" s="17"/>
      <c r="B47" s="17"/>
      <c r="C47" s="17"/>
      <c r="D47" s="17"/>
      <c r="E47" s="17"/>
      <c r="F47" s="17"/>
      <c r="G47" s="17"/>
      <c r="H47" s="17"/>
      <c r="I47" s="17"/>
      <c r="J47" s="17"/>
      <c r="K47" s="17"/>
      <c r="L47" s="17"/>
    </row>
    <row r="48" spans="1:12" x14ac:dyDescent="0.2">
      <c r="A48" s="17" t="s">
        <v>63</v>
      </c>
      <c r="B48" s="27" t="s">
        <v>43</v>
      </c>
      <c r="C48" s="27" t="s">
        <v>43</v>
      </c>
      <c r="D48" s="27" t="s">
        <v>43</v>
      </c>
      <c r="E48" s="27" t="s">
        <v>43</v>
      </c>
      <c r="F48" s="27" t="s">
        <v>43</v>
      </c>
      <c r="G48" s="27" t="s">
        <v>43</v>
      </c>
      <c r="H48" s="27" t="s">
        <v>43</v>
      </c>
      <c r="I48" s="27" t="s">
        <v>43</v>
      </c>
      <c r="J48" s="27" t="s">
        <v>43</v>
      </c>
      <c r="K48" s="27" t="s">
        <v>43</v>
      </c>
      <c r="L48" s="27" t="s">
        <v>43</v>
      </c>
    </row>
    <row r="49" spans="1:12" x14ac:dyDescent="0.2">
      <c r="A49" s="17" t="s">
        <v>64</v>
      </c>
      <c r="B49" s="27" t="s">
        <v>43</v>
      </c>
      <c r="C49" s="27" t="s">
        <v>43</v>
      </c>
      <c r="D49" s="27" t="s">
        <v>43</v>
      </c>
      <c r="E49" s="27" t="s">
        <v>43</v>
      </c>
      <c r="F49" s="27" t="s">
        <v>43</v>
      </c>
      <c r="G49" s="27" t="s">
        <v>43</v>
      </c>
      <c r="H49" s="27" t="s">
        <v>43</v>
      </c>
      <c r="I49" s="27" t="s">
        <v>43</v>
      </c>
      <c r="J49" s="27" t="s">
        <v>43</v>
      </c>
      <c r="K49" s="27" t="s">
        <v>43</v>
      </c>
      <c r="L49" s="27" t="s">
        <v>43</v>
      </c>
    </row>
    <row r="50" spans="1:12" ht="10.5" x14ac:dyDescent="0.2">
      <c r="A50" s="26" t="s">
        <v>65</v>
      </c>
      <c r="B50" s="64">
        <v>39510</v>
      </c>
      <c r="C50" s="64">
        <v>53394</v>
      </c>
      <c r="D50" s="64">
        <v>45687</v>
      </c>
      <c r="E50" s="64">
        <v>48351</v>
      </c>
      <c r="F50" s="64">
        <v>59531</v>
      </c>
      <c r="G50" s="28">
        <v>55256</v>
      </c>
      <c r="H50" s="28">
        <v>57411</v>
      </c>
      <c r="I50" s="28">
        <v>94680</v>
      </c>
      <c r="J50" s="28">
        <v>99803</v>
      </c>
      <c r="K50" s="28">
        <v>96995</v>
      </c>
      <c r="L50" s="28">
        <v>100913</v>
      </c>
    </row>
    <row r="51" spans="1:12" x14ac:dyDescent="0.2">
      <c r="A51" s="17"/>
      <c r="B51" s="17"/>
      <c r="C51" s="17"/>
      <c r="D51" s="17"/>
      <c r="E51" s="17"/>
      <c r="F51" s="17"/>
      <c r="G51" s="17"/>
      <c r="H51" s="17"/>
      <c r="I51" s="17"/>
      <c r="J51" s="17"/>
      <c r="K51" s="17"/>
      <c r="L51" s="17"/>
    </row>
    <row r="52" spans="1:12" x14ac:dyDescent="0.2">
      <c r="A52" s="17" t="s">
        <v>66</v>
      </c>
      <c r="B52" s="27" t="s">
        <v>43</v>
      </c>
      <c r="C52" s="27" t="s">
        <v>43</v>
      </c>
      <c r="D52" s="27" t="s">
        <v>43</v>
      </c>
      <c r="E52" s="27" t="s">
        <v>43</v>
      </c>
      <c r="F52" s="27" t="s">
        <v>43</v>
      </c>
      <c r="G52" s="27" t="s">
        <v>43</v>
      </c>
      <c r="H52" s="27" t="s">
        <v>43</v>
      </c>
      <c r="I52" s="27" t="s">
        <v>43</v>
      </c>
      <c r="J52" s="27" t="s">
        <v>43</v>
      </c>
      <c r="K52" s="27" t="s">
        <v>43</v>
      </c>
      <c r="L52" s="27" t="s">
        <v>43</v>
      </c>
    </row>
    <row r="53" spans="1:12" ht="10.5" x14ac:dyDescent="0.2">
      <c r="A53" s="26" t="s">
        <v>67</v>
      </c>
      <c r="B53" s="65">
        <v>39510</v>
      </c>
      <c r="C53" s="65">
        <v>53394</v>
      </c>
      <c r="D53" s="65">
        <v>45687</v>
      </c>
      <c r="E53" s="65">
        <v>48351</v>
      </c>
      <c r="F53" s="65">
        <v>59531</v>
      </c>
      <c r="G53" s="30">
        <v>55256</v>
      </c>
      <c r="H53" s="30">
        <v>57411</v>
      </c>
      <c r="I53" s="30">
        <v>94680</v>
      </c>
      <c r="J53" s="30">
        <v>99803</v>
      </c>
      <c r="K53" s="30">
        <v>96995</v>
      </c>
      <c r="L53" s="30">
        <v>100913</v>
      </c>
    </row>
    <row r="54" spans="1:12" x14ac:dyDescent="0.2">
      <c r="A54" s="17"/>
      <c r="B54" s="17"/>
      <c r="C54" s="17"/>
      <c r="D54" s="17"/>
      <c r="E54" s="17"/>
      <c r="F54" s="17"/>
      <c r="G54" s="17"/>
      <c r="H54" s="17"/>
      <c r="I54" s="17"/>
      <c r="J54" s="17"/>
      <c r="K54" s="17"/>
      <c r="L54" s="17"/>
    </row>
    <row r="55" spans="1:12" x14ac:dyDescent="0.2">
      <c r="A55" s="17" t="s">
        <v>68</v>
      </c>
      <c r="B55" s="27" t="s">
        <v>43</v>
      </c>
      <c r="C55" s="27" t="s">
        <v>43</v>
      </c>
      <c r="D55" s="27" t="s">
        <v>43</v>
      </c>
      <c r="E55" s="27" t="s">
        <v>43</v>
      </c>
      <c r="F55" s="27" t="s">
        <v>43</v>
      </c>
      <c r="G55" s="27" t="s">
        <v>43</v>
      </c>
      <c r="H55" s="27" t="s">
        <v>43</v>
      </c>
      <c r="I55" s="27" t="s">
        <v>43</v>
      </c>
      <c r="J55" s="27" t="s">
        <v>43</v>
      </c>
      <c r="K55" s="27" t="s">
        <v>43</v>
      </c>
      <c r="L55" s="27" t="s">
        <v>43</v>
      </c>
    </row>
    <row r="56" spans="1:12" x14ac:dyDescent="0.2">
      <c r="A56" s="17"/>
      <c r="B56" s="17"/>
      <c r="C56" s="17"/>
      <c r="D56" s="17"/>
      <c r="E56" s="17"/>
      <c r="F56" s="17"/>
      <c r="G56" s="17"/>
      <c r="H56" s="17"/>
      <c r="I56" s="17"/>
      <c r="J56" s="17"/>
      <c r="K56" s="17"/>
      <c r="L56" s="17"/>
    </row>
    <row r="57" spans="1:12" ht="10.5" x14ac:dyDescent="0.2">
      <c r="A57" s="26" t="s">
        <v>69</v>
      </c>
      <c r="B57" s="29">
        <v>39510</v>
      </c>
      <c r="C57" s="29">
        <v>53394</v>
      </c>
      <c r="D57" s="29">
        <v>45687</v>
      </c>
      <c r="E57" s="29">
        <v>48351</v>
      </c>
      <c r="F57" s="29">
        <v>59531</v>
      </c>
      <c r="G57" s="29">
        <v>55256</v>
      </c>
      <c r="H57" s="29">
        <v>57411</v>
      </c>
      <c r="I57" s="29">
        <v>94680</v>
      </c>
      <c r="J57" s="29">
        <v>99803</v>
      </c>
      <c r="K57" s="29">
        <v>96995</v>
      </c>
      <c r="L57" s="29">
        <v>100913</v>
      </c>
    </row>
    <row r="58" spans="1:12" ht="10.5" x14ac:dyDescent="0.2">
      <c r="A58" s="26" t="s">
        <v>70</v>
      </c>
      <c r="B58" s="29">
        <v>39510</v>
      </c>
      <c r="C58" s="29">
        <v>53394</v>
      </c>
      <c r="D58" s="29">
        <v>45687</v>
      </c>
      <c r="E58" s="29">
        <v>48351</v>
      </c>
      <c r="F58" s="29">
        <v>59531</v>
      </c>
      <c r="G58" s="29">
        <v>55256</v>
      </c>
      <c r="H58" s="29">
        <v>57411</v>
      </c>
      <c r="I58" s="29">
        <v>94680</v>
      </c>
      <c r="J58" s="29">
        <v>99803</v>
      </c>
      <c r="K58" s="29">
        <v>96995</v>
      </c>
      <c r="L58" s="29">
        <v>100913</v>
      </c>
    </row>
    <row r="59" spans="1:12" x14ac:dyDescent="0.2">
      <c r="A59" s="17"/>
      <c r="B59" s="17"/>
      <c r="C59" s="17"/>
      <c r="D59" s="17"/>
      <c r="E59" s="17"/>
      <c r="F59" s="17"/>
      <c r="G59" s="17"/>
      <c r="H59" s="17"/>
      <c r="I59" s="17"/>
      <c r="J59" s="17"/>
      <c r="K59" s="17"/>
      <c r="L59" s="17"/>
    </row>
    <row r="60" spans="1:12" ht="10.5" x14ac:dyDescent="0.2">
      <c r="A60" s="26" t="s">
        <v>71</v>
      </c>
      <c r="B60" s="17"/>
      <c r="C60" s="17"/>
      <c r="D60" s="17"/>
      <c r="E60" s="17"/>
      <c r="F60" s="17"/>
      <c r="G60" s="17"/>
      <c r="H60" s="17"/>
      <c r="I60" s="17"/>
      <c r="J60" s="17"/>
      <c r="K60" s="17"/>
      <c r="L60" s="17"/>
    </row>
    <row r="61" spans="1:12" x14ac:dyDescent="0.2">
      <c r="A61" s="17" t="s">
        <v>72</v>
      </c>
      <c r="B61" s="31">
        <v>1.62</v>
      </c>
      <c r="C61" s="31">
        <v>2.3199999999999998</v>
      </c>
      <c r="D61" s="31">
        <v>2.09</v>
      </c>
      <c r="E61" s="31">
        <v>2.3199999999999998</v>
      </c>
      <c r="F61" s="31">
        <v>3</v>
      </c>
      <c r="G61" s="31">
        <v>2.99</v>
      </c>
      <c r="H61" s="31">
        <v>3.31</v>
      </c>
      <c r="I61" s="31">
        <v>5.67</v>
      </c>
      <c r="J61" s="31">
        <v>6.15</v>
      </c>
      <c r="K61" s="31">
        <v>6.16</v>
      </c>
      <c r="L61" s="31">
        <v>6.45</v>
      </c>
    </row>
    <row r="62" spans="1:12" x14ac:dyDescent="0.2">
      <c r="A62" s="17" t="s">
        <v>73</v>
      </c>
      <c r="B62" s="32">
        <v>1.6231009999999999</v>
      </c>
      <c r="C62" s="32">
        <v>2.3200970000000001</v>
      </c>
      <c r="D62" s="32">
        <v>2.087758</v>
      </c>
      <c r="E62" s="32">
        <v>2.3168850000000001</v>
      </c>
      <c r="F62" s="32">
        <v>3.0033530000000002</v>
      </c>
      <c r="G62" s="32">
        <v>2.9914450000000001</v>
      </c>
      <c r="H62" s="32">
        <v>3.3085870000000002</v>
      </c>
      <c r="I62" s="32">
        <v>5.6690290000000001</v>
      </c>
      <c r="J62" s="32">
        <v>6.1546139999999996</v>
      </c>
      <c r="K62" s="32">
        <v>6.1606690000000004</v>
      </c>
      <c r="L62" s="32">
        <v>6.4487360000000002</v>
      </c>
    </row>
    <row r="63" spans="1:12" x14ac:dyDescent="0.2">
      <c r="A63" s="17" t="s">
        <v>74</v>
      </c>
      <c r="B63" s="27">
        <v>24342.288</v>
      </c>
      <c r="C63" s="27">
        <v>23013.684000000001</v>
      </c>
      <c r="D63" s="27">
        <v>21883.279999999999</v>
      </c>
      <c r="E63" s="27">
        <v>20868.968000000001</v>
      </c>
      <c r="F63" s="27">
        <v>19821.509999999998</v>
      </c>
      <c r="G63" s="27">
        <v>18471.335999999999</v>
      </c>
      <c r="H63" s="27">
        <v>17352.118999999999</v>
      </c>
      <c r="I63" s="27">
        <v>16701.272000000001</v>
      </c>
      <c r="J63" s="27">
        <v>16215.963</v>
      </c>
      <c r="K63" s="27">
        <v>15744.231</v>
      </c>
      <c r="L63" s="27">
        <v>15648.491</v>
      </c>
    </row>
    <row r="64" spans="1:12" x14ac:dyDescent="0.2">
      <c r="A64" s="17"/>
      <c r="B64" s="17"/>
      <c r="C64" s="17"/>
      <c r="D64" s="17"/>
      <c r="E64" s="17"/>
      <c r="F64" s="17"/>
      <c r="G64" s="17"/>
      <c r="H64" s="48"/>
      <c r="I64" s="17"/>
      <c r="J64" s="17"/>
      <c r="K64" s="17"/>
      <c r="L64" s="17"/>
    </row>
    <row r="65" spans="1:12" x14ac:dyDescent="0.2">
      <c r="A65" s="17" t="s">
        <v>75</v>
      </c>
      <c r="B65" s="31">
        <v>1.61</v>
      </c>
      <c r="C65" s="31">
        <v>2.31</v>
      </c>
      <c r="D65" s="31">
        <v>2.08</v>
      </c>
      <c r="E65" s="31">
        <v>2.2999999999999998</v>
      </c>
      <c r="F65" s="31">
        <v>2.98</v>
      </c>
      <c r="G65" s="31">
        <v>2.97</v>
      </c>
      <c r="H65" s="31">
        <v>3.28</v>
      </c>
      <c r="I65" s="31">
        <v>5.61</v>
      </c>
      <c r="J65" s="31">
        <v>6.11</v>
      </c>
      <c r="K65" s="31">
        <v>6.13</v>
      </c>
      <c r="L65" s="31">
        <v>6.42</v>
      </c>
    </row>
    <row r="66" spans="1:12" x14ac:dyDescent="0.2">
      <c r="A66" s="17" t="s">
        <v>76</v>
      </c>
      <c r="B66" s="32">
        <v>1.6125</v>
      </c>
      <c r="C66" s="32">
        <v>2.3050000000000002</v>
      </c>
      <c r="D66" s="32">
        <v>2.0775000000000001</v>
      </c>
      <c r="E66" s="32">
        <v>2.3025000000000002</v>
      </c>
      <c r="F66" s="32">
        <v>2.98</v>
      </c>
      <c r="G66" s="32">
        <v>2.97</v>
      </c>
      <c r="H66" s="32">
        <v>3.28</v>
      </c>
      <c r="I66" s="32">
        <v>5.61</v>
      </c>
      <c r="J66" s="32">
        <v>6.11</v>
      </c>
      <c r="K66" s="32">
        <v>6.13</v>
      </c>
      <c r="L66" s="32">
        <v>6.4189249999999998</v>
      </c>
    </row>
    <row r="67" spans="1:12" x14ac:dyDescent="0.2">
      <c r="A67" s="17" t="s">
        <v>77</v>
      </c>
      <c r="B67" s="27">
        <v>24490.651999999998</v>
      </c>
      <c r="C67" s="27">
        <v>23172.276000000002</v>
      </c>
      <c r="D67" s="27">
        <v>22001.124</v>
      </c>
      <c r="E67" s="27">
        <v>21006.768</v>
      </c>
      <c r="F67" s="27">
        <v>20000.435000000001</v>
      </c>
      <c r="G67" s="27">
        <v>18595.651000000002</v>
      </c>
      <c r="H67" s="27">
        <v>17528.214</v>
      </c>
      <c r="I67" s="27">
        <v>16864.919000000002</v>
      </c>
      <c r="J67" s="27">
        <v>16325.819</v>
      </c>
      <c r="K67" s="27">
        <v>15812.547</v>
      </c>
      <c r="L67" s="27">
        <v>15717.777749999999</v>
      </c>
    </row>
    <row r="68" spans="1:12" x14ac:dyDescent="0.2">
      <c r="A68" s="17"/>
      <c r="B68" s="17"/>
      <c r="C68" s="17"/>
      <c r="D68" s="17"/>
      <c r="E68" s="17"/>
      <c r="F68" s="17"/>
      <c r="G68" s="17"/>
      <c r="H68" s="17"/>
      <c r="I68" s="17"/>
      <c r="J68" s="17"/>
      <c r="K68" s="17"/>
      <c r="L68" s="17"/>
    </row>
    <row r="69" spans="1:12" x14ac:dyDescent="0.2">
      <c r="A69" s="17" t="s">
        <v>78</v>
      </c>
      <c r="B69" s="31">
        <v>1.37</v>
      </c>
      <c r="C69" s="31">
        <v>1.97</v>
      </c>
      <c r="D69" s="31">
        <v>1.75</v>
      </c>
      <c r="E69" s="31">
        <v>1.92</v>
      </c>
      <c r="F69" s="31">
        <v>2.2999999999999998</v>
      </c>
      <c r="G69" s="31">
        <v>2.2200000000000002</v>
      </c>
      <c r="H69" s="31">
        <v>2.42</v>
      </c>
      <c r="I69" s="31">
        <v>4.09</v>
      </c>
      <c r="J69" s="31">
        <v>4.59</v>
      </c>
      <c r="K69" s="31">
        <v>4.51</v>
      </c>
      <c r="L69" s="31">
        <v>4.7300000000000004</v>
      </c>
    </row>
    <row r="70" spans="1:12" x14ac:dyDescent="0.2">
      <c r="A70" s="17" t="s">
        <v>79</v>
      </c>
      <c r="B70" s="32">
        <v>1.3648830000000001</v>
      </c>
      <c r="C70" s="32">
        <v>1.9558660000000001</v>
      </c>
      <c r="D70" s="32">
        <v>1.743433</v>
      </c>
      <c r="E70" s="32">
        <v>1.9067959999999999</v>
      </c>
      <c r="F70" s="32">
        <v>2.2781690000000001</v>
      </c>
      <c r="G70" s="32">
        <v>2.2094209999999999</v>
      </c>
      <c r="H70" s="32">
        <v>2.3922500000000002</v>
      </c>
      <c r="I70" s="32">
        <v>4.0471209999999997</v>
      </c>
      <c r="J70" s="32">
        <v>4.5596100000000002</v>
      </c>
      <c r="K70" s="32">
        <v>4.4954799999999997</v>
      </c>
      <c r="L70" s="32">
        <v>4.7094760000000004</v>
      </c>
    </row>
    <row r="71" spans="1:12" x14ac:dyDescent="0.2">
      <c r="A71" s="17"/>
      <c r="B71" s="17"/>
      <c r="C71" s="17"/>
      <c r="D71" s="17"/>
      <c r="E71" s="17"/>
      <c r="F71" s="17"/>
      <c r="G71" s="17"/>
      <c r="H71" s="17"/>
      <c r="I71" s="17"/>
      <c r="J71" s="17"/>
      <c r="K71" s="17"/>
      <c r="L71" s="17"/>
    </row>
    <row r="72" spans="1:12" x14ac:dyDescent="0.2">
      <c r="A72" s="17" t="s">
        <v>80</v>
      </c>
      <c r="B72" s="31">
        <v>0.46</v>
      </c>
      <c r="C72" s="31">
        <v>0.5</v>
      </c>
      <c r="D72" s="31">
        <v>0.55000000000000004</v>
      </c>
      <c r="E72" s="31">
        <v>0.6</v>
      </c>
      <c r="F72" s="31">
        <v>0.68</v>
      </c>
      <c r="G72" s="31">
        <v>0.75</v>
      </c>
      <c r="H72" s="31">
        <v>0.8</v>
      </c>
      <c r="I72" s="31">
        <v>0.85</v>
      </c>
      <c r="J72" s="31">
        <v>0.9</v>
      </c>
      <c r="K72" s="31">
        <v>0.94</v>
      </c>
      <c r="L72" s="31">
        <v>0.95</v>
      </c>
    </row>
    <row r="73" spans="1:12" x14ac:dyDescent="0.2">
      <c r="A73" s="17" t="s">
        <v>81</v>
      </c>
      <c r="B73" s="33">
        <v>0.28159899999999999</v>
      </c>
      <c r="C73" s="33">
        <v>0.21652199999999999</v>
      </c>
      <c r="D73" s="33">
        <v>0.26593899999999998</v>
      </c>
      <c r="E73" s="33">
        <v>0.26408900000000002</v>
      </c>
      <c r="F73" s="33">
        <v>0.23033300000000001</v>
      </c>
      <c r="G73" s="33">
        <v>0.255519</v>
      </c>
      <c r="H73" s="33">
        <v>0.24526600000000001</v>
      </c>
      <c r="I73" s="33">
        <v>0.15279799999999999</v>
      </c>
      <c r="J73" s="33">
        <v>0.148702</v>
      </c>
      <c r="K73" s="33">
        <v>0.15490399999999999</v>
      </c>
      <c r="L73" s="33">
        <v>0.149455</v>
      </c>
    </row>
    <row r="74" spans="1:12" x14ac:dyDescent="0.2">
      <c r="A74" s="17"/>
      <c r="B74" s="17"/>
      <c r="C74" s="17"/>
      <c r="D74" s="17"/>
      <c r="E74" s="17"/>
      <c r="F74" s="17"/>
      <c r="G74" s="17"/>
      <c r="H74" s="17"/>
      <c r="I74" s="17"/>
      <c r="J74" s="17"/>
      <c r="K74" s="17"/>
      <c r="L74" s="17"/>
    </row>
    <row r="75" spans="1:12" x14ac:dyDescent="0.2">
      <c r="A75" s="17" t="s">
        <v>82</v>
      </c>
      <c r="B75" s="34">
        <v>0.1</v>
      </c>
      <c r="C75" s="34">
        <v>0.1</v>
      </c>
      <c r="D75" s="34">
        <v>0.1</v>
      </c>
      <c r="E75" s="34">
        <v>0.1</v>
      </c>
      <c r="F75" s="34">
        <v>0.1</v>
      </c>
      <c r="G75" s="34">
        <v>0.1</v>
      </c>
      <c r="H75" s="34">
        <v>0.1</v>
      </c>
      <c r="I75" s="34">
        <v>0.1</v>
      </c>
      <c r="J75" s="34">
        <v>0.1</v>
      </c>
      <c r="K75" s="34">
        <v>0.1</v>
      </c>
      <c r="L75" s="34">
        <v>0.1</v>
      </c>
    </row>
    <row r="76" spans="1:12" x14ac:dyDescent="0.2">
      <c r="A76" s="17"/>
      <c r="B76" s="17"/>
      <c r="C76" s="17"/>
      <c r="D76" s="17"/>
      <c r="E76" s="17"/>
      <c r="F76" s="17"/>
      <c r="G76" s="17"/>
      <c r="H76" s="17"/>
      <c r="I76" s="17"/>
      <c r="J76" s="17"/>
      <c r="K76" s="17"/>
      <c r="L76" s="17"/>
    </row>
    <row r="77" spans="1:12" ht="10.5" x14ac:dyDescent="0.2">
      <c r="A77" s="26" t="s">
        <v>83</v>
      </c>
      <c r="B77" s="17"/>
      <c r="C77" s="17"/>
      <c r="D77" s="17"/>
      <c r="E77" s="17"/>
      <c r="F77" s="17"/>
      <c r="G77" s="17"/>
      <c r="H77" s="17"/>
      <c r="I77" s="17"/>
      <c r="J77" s="17"/>
      <c r="K77" s="17"/>
      <c r="L77" s="17"/>
    </row>
    <row r="78" spans="1:12" x14ac:dyDescent="0.2">
      <c r="A78" s="17" t="s">
        <v>3</v>
      </c>
      <c r="B78" s="27">
        <v>60449</v>
      </c>
      <c r="C78" s="27">
        <v>82487</v>
      </c>
      <c r="D78" s="27">
        <v>70529</v>
      </c>
      <c r="E78" s="27">
        <v>71501</v>
      </c>
      <c r="F78" s="27">
        <v>81801</v>
      </c>
      <c r="G78" s="27">
        <v>76477</v>
      </c>
      <c r="H78" s="27">
        <v>77344</v>
      </c>
      <c r="I78" s="27">
        <v>120233</v>
      </c>
      <c r="J78" s="27">
        <v>130541</v>
      </c>
      <c r="K78" s="27">
        <v>125820</v>
      </c>
      <c r="L78" s="27">
        <v>130109</v>
      </c>
    </row>
    <row r="79" spans="1:12" x14ac:dyDescent="0.2">
      <c r="A79" s="17" t="s">
        <v>84</v>
      </c>
      <c r="B79" s="27">
        <v>53603</v>
      </c>
      <c r="C79" s="27">
        <v>72530</v>
      </c>
      <c r="D79" s="27">
        <v>60024</v>
      </c>
      <c r="E79" s="27">
        <v>61344</v>
      </c>
      <c r="F79" s="27">
        <v>70898</v>
      </c>
      <c r="G79" s="27">
        <v>63930</v>
      </c>
      <c r="H79" s="27">
        <v>66288</v>
      </c>
      <c r="I79" s="27">
        <v>108949</v>
      </c>
      <c r="J79" s="27">
        <v>119437</v>
      </c>
      <c r="K79" s="27">
        <v>114301</v>
      </c>
      <c r="L79" s="27">
        <v>118658</v>
      </c>
    </row>
    <row r="80" spans="1:12" x14ac:dyDescent="0.2">
      <c r="A80" s="17" t="s">
        <v>85</v>
      </c>
      <c r="B80" s="27">
        <v>52503</v>
      </c>
      <c r="C80" s="27">
        <v>71230</v>
      </c>
      <c r="D80" s="27">
        <v>60024</v>
      </c>
      <c r="E80" s="27">
        <v>61344</v>
      </c>
      <c r="F80" s="27">
        <v>70898</v>
      </c>
      <c r="G80" s="27">
        <v>63930</v>
      </c>
      <c r="H80" s="27">
        <v>66288</v>
      </c>
      <c r="I80" s="27">
        <v>108949</v>
      </c>
      <c r="J80" s="27">
        <v>119437</v>
      </c>
      <c r="K80" s="27">
        <v>114301</v>
      </c>
      <c r="L80" s="27">
        <v>118658</v>
      </c>
    </row>
    <row r="81" spans="1:12" x14ac:dyDescent="0.2">
      <c r="A81" s="17" t="s">
        <v>86</v>
      </c>
      <c r="B81" s="27">
        <v>61166</v>
      </c>
      <c r="C81" s="27">
        <v>83281</v>
      </c>
      <c r="D81" s="27">
        <v>71468</v>
      </c>
      <c r="E81" s="27">
        <v>72601</v>
      </c>
      <c r="F81" s="27">
        <v>83001</v>
      </c>
      <c r="G81" s="27">
        <v>77777</v>
      </c>
      <c r="H81" s="27">
        <v>88144</v>
      </c>
      <c r="I81" s="27">
        <v>134833</v>
      </c>
      <c r="J81" s="27">
        <v>147341</v>
      </c>
      <c r="K81" s="27">
        <v>141720</v>
      </c>
      <c r="L81" s="27" t="s">
        <v>6</v>
      </c>
    </row>
    <row r="82" spans="1:12" x14ac:dyDescent="0.2">
      <c r="A82" s="17" t="s">
        <v>87</v>
      </c>
      <c r="B82" s="27" t="s">
        <v>6</v>
      </c>
      <c r="C82" s="27" t="s">
        <v>6</v>
      </c>
      <c r="D82" s="27" t="s">
        <v>6</v>
      </c>
      <c r="E82" s="27">
        <v>229234</v>
      </c>
      <c r="F82" s="27">
        <v>265595</v>
      </c>
      <c r="G82" s="27">
        <v>260174</v>
      </c>
      <c r="H82" s="27">
        <v>274515</v>
      </c>
      <c r="I82" s="27">
        <v>365817</v>
      </c>
      <c r="J82" s="27">
        <v>394328</v>
      </c>
      <c r="K82" s="27">
        <v>383285</v>
      </c>
      <c r="L82" s="27">
        <v>385706</v>
      </c>
    </row>
    <row r="83" spans="1:12" x14ac:dyDescent="0.2">
      <c r="A83" s="17" t="s">
        <v>88</v>
      </c>
      <c r="B83" s="33">
        <v>0.26125999999999999</v>
      </c>
      <c r="C83" s="33">
        <v>0.263683</v>
      </c>
      <c r="D83" s="33">
        <v>0.25557200000000002</v>
      </c>
      <c r="E83" s="33">
        <v>0.245564</v>
      </c>
      <c r="F83" s="33">
        <v>0.183421</v>
      </c>
      <c r="G83" s="33">
        <v>0.159438</v>
      </c>
      <c r="H83" s="33">
        <v>0.14428099999999999</v>
      </c>
      <c r="I83" s="33">
        <v>0.133022</v>
      </c>
      <c r="J83" s="33">
        <v>0.16204399999999999</v>
      </c>
      <c r="K83" s="33">
        <v>0.14719099999999999</v>
      </c>
      <c r="L83" s="33">
        <v>0.147953</v>
      </c>
    </row>
    <row r="84" spans="1:12" x14ac:dyDescent="0.2">
      <c r="A84" s="17" t="s">
        <v>89</v>
      </c>
      <c r="B84" s="27">
        <v>9479</v>
      </c>
      <c r="C84" s="27">
        <v>12995</v>
      </c>
      <c r="D84" s="27">
        <v>8642</v>
      </c>
      <c r="E84" s="27">
        <v>8101</v>
      </c>
      <c r="F84" s="27">
        <v>41976</v>
      </c>
      <c r="G84" s="27">
        <v>6859</v>
      </c>
      <c r="H84" s="27">
        <v>6761</v>
      </c>
      <c r="I84" s="27">
        <v>9877</v>
      </c>
      <c r="J84" s="27">
        <v>9409</v>
      </c>
      <c r="K84" s="27">
        <v>11015</v>
      </c>
      <c r="L84" s="27">
        <v>11015</v>
      </c>
    </row>
    <row r="85" spans="1:12" x14ac:dyDescent="0.2">
      <c r="A85" s="17" t="s">
        <v>90</v>
      </c>
      <c r="B85" s="27">
        <v>2147</v>
      </c>
      <c r="C85" s="27">
        <v>4744</v>
      </c>
      <c r="D85" s="27">
        <v>2105</v>
      </c>
      <c r="E85" s="27">
        <v>1671</v>
      </c>
      <c r="F85" s="27">
        <v>3986</v>
      </c>
      <c r="G85" s="27">
        <v>3962</v>
      </c>
      <c r="H85" s="27">
        <v>3134</v>
      </c>
      <c r="I85" s="27">
        <v>9424</v>
      </c>
      <c r="J85" s="27">
        <v>8996</v>
      </c>
      <c r="K85" s="27">
        <v>8750</v>
      </c>
      <c r="L85" s="27">
        <v>8750</v>
      </c>
    </row>
    <row r="86" spans="1:12" x14ac:dyDescent="0.2">
      <c r="A86" s="17" t="s">
        <v>91</v>
      </c>
      <c r="B86" s="27">
        <v>11626</v>
      </c>
      <c r="C86" s="27">
        <v>17739</v>
      </c>
      <c r="D86" s="27">
        <v>10747</v>
      </c>
      <c r="E86" s="27">
        <v>9772</v>
      </c>
      <c r="F86" s="27">
        <v>45962</v>
      </c>
      <c r="G86" s="27">
        <v>10821</v>
      </c>
      <c r="H86" s="27">
        <v>9895</v>
      </c>
      <c r="I86" s="27">
        <v>19301</v>
      </c>
      <c r="J86" s="27">
        <v>18405</v>
      </c>
      <c r="K86" s="27">
        <v>19765</v>
      </c>
      <c r="L86" s="27">
        <v>19765</v>
      </c>
    </row>
    <row r="87" spans="1:12" x14ac:dyDescent="0.2">
      <c r="A87" s="17" t="s">
        <v>92</v>
      </c>
      <c r="B87" s="27">
        <v>3005</v>
      </c>
      <c r="C87" s="27">
        <v>3188</v>
      </c>
      <c r="D87" s="27">
        <v>4905</v>
      </c>
      <c r="E87" s="27">
        <v>5982</v>
      </c>
      <c r="F87" s="27">
        <v>-33771</v>
      </c>
      <c r="G87" s="27">
        <v>-3006</v>
      </c>
      <c r="H87" s="27">
        <v>-3598</v>
      </c>
      <c r="I87" s="27">
        <v>-7514</v>
      </c>
      <c r="J87" s="27">
        <v>-2181</v>
      </c>
      <c r="K87" s="27">
        <v>-3693</v>
      </c>
      <c r="L87" s="27">
        <v>-3693</v>
      </c>
    </row>
    <row r="88" spans="1:12" x14ac:dyDescent="0.2">
      <c r="A88" s="17" t="s">
        <v>93</v>
      </c>
      <c r="B88" s="27">
        <v>-658</v>
      </c>
      <c r="C88" s="27">
        <v>-1806</v>
      </c>
      <c r="D88" s="27">
        <v>33</v>
      </c>
      <c r="E88" s="27">
        <v>-16</v>
      </c>
      <c r="F88" s="27">
        <v>1181</v>
      </c>
      <c r="G88" s="27">
        <v>2666</v>
      </c>
      <c r="H88" s="27">
        <v>3383</v>
      </c>
      <c r="I88" s="27">
        <v>2740</v>
      </c>
      <c r="J88" s="27">
        <v>3076</v>
      </c>
      <c r="K88" s="27">
        <v>669</v>
      </c>
      <c r="L88" s="27">
        <v>669</v>
      </c>
    </row>
    <row r="89" spans="1:12" x14ac:dyDescent="0.2">
      <c r="A89" s="17" t="s">
        <v>94</v>
      </c>
      <c r="B89" s="27">
        <v>2347</v>
      </c>
      <c r="C89" s="27">
        <v>1382</v>
      </c>
      <c r="D89" s="27">
        <v>4938</v>
      </c>
      <c r="E89" s="27">
        <v>5966</v>
      </c>
      <c r="F89" s="27">
        <v>-32590</v>
      </c>
      <c r="G89" s="27">
        <v>-340</v>
      </c>
      <c r="H89" s="27">
        <v>-215</v>
      </c>
      <c r="I89" s="27">
        <v>-4774</v>
      </c>
      <c r="J89" s="27">
        <v>895</v>
      </c>
      <c r="K89" s="27">
        <v>-3024</v>
      </c>
      <c r="L89" s="27">
        <v>-3024</v>
      </c>
    </row>
    <row r="90" spans="1:12" x14ac:dyDescent="0.2">
      <c r="A90" s="17"/>
      <c r="B90" s="17"/>
      <c r="C90" s="17"/>
      <c r="D90" s="17"/>
      <c r="E90" s="17"/>
      <c r="F90" s="17"/>
      <c r="G90" s="17"/>
      <c r="H90" s="17"/>
      <c r="I90" s="17"/>
      <c r="J90" s="17"/>
      <c r="K90" s="17"/>
      <c r="L90" s="17"/>
    </row>
    <row r="91" spans="1:12" x14ac:dyDescent="0.2">
      <c r="A91" s="17" t="s">
        <v>95</v>
      </c>
      <c r="B91" s="27">
        <v>33426.875</v>
      </c>
      <c r="C91" s="27">
        <v>45321.875</v>
      </c>
      <c r="D91" s="27">
        <v>38357.5</v>
      </c>
      <c r="E91" s="27">
        <v>40055.625</v>
      </c>
      <c r="F91" s="27">
        <v>45564.375</v>
      </c>
      <c r="G91" s="27">
        <v>41085.625</v>
      </c>
      <c r="H91" s="27">
        <v>41931.875</v>
      </c>
      <c r="I91" s="27">
        <v>68254.375</v>
      </c>
      <c r="J91" s="27">
        <v>74439.375</v>
      </c>
      <c r="K91" s="27">
        <v>71085</v>
      </c>
      <c r="L91" s="27">
        <v>74022.5</v>
      </c>
    </row>
    <row r="92" spans="1:12" x14ac:dyDescent="0.2">
      <c r="A92" s="17" t="s">
        <v>96</v>
      </c>
      <c r="B92" s="27">
        <v>381</v>
      </c>
      <c r="C92" s="27">
        <v>722</v>
      </c>
      <c r="D92" s="27">
        <v>1400</v>
      </c>
      <c r="E92" s="27">
        <v>2200</v>
      </c>
      <c r="F92" s="27">
        <v>3000</v>
      </c>
      <c r="G92" s="27">
        <v>3200</v>
      </c>
      <c r="H92" s="27">
        <v>2800</v>
      </c>
      <c r="I92" s="27">
        <v>2600</v>
      </c>
      <c r="J92" s="27">
        <v>2800</v>
      </c>
      <c r="K92" s="27">
        <v>3700</v>
      </c>
      <c r="L92" s="27" t="s">
        <v>6</v>
      </c>
    </row>
    <row r="93" spans="1:12" x14ac:dyDescent="0.2">
      <c r="A93" s="17" t="s">
        <v>97</v>
      </c>
      <c r="B93" s="35">
        <v>42669</v>
      </c>
      <c r="C93" s="35">
        <v>43042</v>
      </c>
      <c r="D93" s="35">
        <v>43409</v>
      </c>
      <c r="E93" s="35">
        <v>43769</v>
      </c>
      <c r="F93" s="35">
        <v>44134</v>
      </c>
      <c r="G93" s="35">
        <v>44498</v>
      </c>
      <c r="H93" s="35">
        <v>44862</v>
      </c>
      <c r="I93" s="35">
        <v>45233</v>
      </c>
      <c r="J93" s="35">
        <v>45233</v>
      </c>
      <c r="K93" s="35">
        <v>45233</v>
      </c>
      <c r="L93" s="35">
        <v>45324</v>
      </c>
    </row>
    <row r="94" spans="1:12" x14ac:dyDescent="0.2">
      <c r="A94" s="17" t="s">
        <v>98</v>
      </c>
      <c r="B94" s="36" t="s">
        <v>99</v>
      </c>
      <c r="C94" s="36" t="s">
        <v>99</v>
      </c>
      <c r="D94" s="36" t="s">
        <v>99</v>
      </c>
      <c r="E94" s="36" t="s">
        <v>99</v>
      </c>
      <c r="F94" s="36" t="s">
        <v>99</v>
      </c>
      <c r="G94" s="36" t="s">
        <v>99</v>
      </c>
      <c r="H94" s="36" t="s">
        <v>99</v>
      </c>
      <c r="I94" s="36" t="s">
        <v>99</v>
      </c>
      <c r="J94" s="36" t="s">
        <v>99</v>
      </c>
      <c r="K94" s="36" t="s">
        <v>100</v>
      </c>
      <c r="L94" s="36" t="s">
        <v>100</v>
      </c>
    </row>
    <row r="95" spans="1:12" x14ac:dyDescent="0.2">
      <c r="A95" s="17" t="s">
        <v>101</v>
      </c>
      <c r="B95" s="36" t="s">
        <v>102</v>
      </c>
      <c r="C95" s="36" t="s">
        <v>102</v>
      </c>
      <c r="D95" s="36" t="s">
        <v>102</v>
      </c>
      <c r="E95" s="36" t="s">
        <v>102</v>
      </c>
      <c r="F95" s="36" t="s">
        <v>102</v>
      </c>
      <c r="G95" s="36" t="s">
        <v>102</v>
      </c>
      <c r="H95" s="36" t="s">
        <v>102</v>
      </c>
      <c r="I95" s="36" t="s">
        <v>102</v>
      </c>
      <c r="J95" s="36" t="s">
        <v>102</v>
      </c>
      <c r="K95" s="36" t="s">
        <v>102</v>
      </c>
      <c r="L95" s="36" t="s">
        <v>103</v>
      </c>
    </row>
    <row r="96" spans="1:12" x14ac:dyDescent="0.2">
      <c r="A96" s="17"/>
      <c r="B96" s="17"/>
      <c r="C96" s="17"/>
      <c r="D96" s="17"/>
      <c r="E96" s="17"/>
      <c r="F96" s="17"/>
      <c r="G96" s="17"/>
      <c r="H96" s="17"/>
      <c r="I96" s="17"/>
      <c r="J96" s="17"/>
      <c r="K96" s="17"/>
      <c r="L96" s="17"/>
    </row>
    <row r="97" spans="1:12" ht="10.5" x14ac:dyDescent="0.2">
      <c r="A97" s="26" t="s">
        <v>104</v>
      </c>
      <c r="B97" s="17"/>
      <c r="C97" s="17"/>
      <c r="D97" s="17"/>
      <c r="E97" s="17"/>
      <c r="F97" s="17"/>
      <c r="G97" s="17"/>
      <c r="H97" s="17"/>
      <c r="I97" s="17"/>
      <c r="J97" s="17"/>
      <c r="K97" s="17"/>
      <c r="L97" s="17"/>
    </row>
    <row r="98" spans="1:12" x14ac:dyDescent="0.2">
      <c r="A98" s="17" t="s">
        <v>105</v>
      </c>
      <c r="B98" s="27">
        <v>6041</v>
      </c>
      <c r="C98" s="27">
        <v>8067</v>
      </c>
      <c r="D98" s="27">
        <v>10045</v>
      </c>
      <c r="E98" s="27">
        <v>11581</v>
      </c>
      <c r="F98" s="27">
        <v>14236</v>
      </c>
      <c r="G98" s="27">
        <v>16217</v>
      </c>
      <c r="H98" s="27">
        <v>18752</v>
      </c>
      <c r="I98" s="27">
        <v>21914</v>
      </c>
      <c r="J98" s="27">
        <v>26251</v>
      </c>
      <c r="K98" s="27">
        <v>29915</v>
      </c>
      <c r="L98" s="27">
        <v>29902</v>
      </c>
    </row>
    <row r="99" spans="1:12" x14ac:dyDescent="0.2">
      <c r="A99" s="17" t="s">
        <v>106</v>
      </c>
      <c r="B99" s="27">
        <v>717</v>
      </c>
      <c r="C99" s="27">
        <v>794</v>
      </c>
      <c r="D99" s="27">
        <v>939</v>
      </c>
      <c r="E99" s="27">
        <v>1100</v>
      </c>
      <c r="F99" s="27">
        <v>1200</v>
      </c>
      <c r="G99" s="27">
        <v>1300</v>
      </c>
      <c r="H99" s="27">
        <v>10800</v>
      </c>
      <c r="I99" s="27">
        <v>14600</v>
      </c>
      <c r="J99" s="27">
        <v>16800</v>
      </c>
      <c r="K99" s="27">
        <v>15900</v>
      </c>
      <c r="L99" s="27" t="s">
        <v>6</v>
      </c>
    </row>
    <row r="100" spans="1:12" x14ac:dyDescent="0.2">
      <c r="A100" s="17" t="s">
        <v>107</v>
      </c>
      <c r="B100" s="27">
        <v>84.301991999999998</v>
      </c>
      <c r="C100" s="27">
        <v>93.456975999999997</v>
      </c>
      <c r="D100" s="27">
        <v>144.50834399999999</v>
      </c>
      <c r="E100" s="27">
        <v>201.68719999999999</v>
      </c>
      <c r="F100" s="27">
        <v>270.2688</v>
      </c>
      <c r="G100" s="27">
        <v>334.24560000000002</v>
      </c>
      <c r="H100" s="27">
        <v>2155.4207999999999</v>
      </c>
      <c r="I100" s="27">
        <v>2387.3919999999998</v>
      </c>
      <c r="J100" s="27">
        <v>2928.7103999999999</v>
      </c>
      <c r="K100" s="27">
        <v>3902.1143999999999</v>
      </c>
      <c r="L100" s="27" t="s">
        <v>43</v>
      </c>
    </row>
    <row r="101" spans="1:12" x14ac:dyDescent="0.2">
      <c r="A101" s="17" t="s">
        <v>108</v>
      </c>
      <c r="B101" s="27">
        <v>632.69800799999996</v>
      </c>
      <c r="C101" s="27">
        <v>700.54302399999995</v>
      </c>
      <c r="D101" s="27">
        <v>794.49165600000003</v>
      </c>
      <c r="E101" s="27">
        <v>898.31280000000004</v>
      </c>
      <c r="F101" s="27">
        <v>929.73119999999994</v>
      </c>
      <c r="G101" s="27">
        <v>965.75440000000003</v>
      </c>
      <c r="H101" s="27">
        <v>8644.5792000000001</v>
      </c>
      <c r="I101" s="27">
        <v>12212.608</v>
      </c>
      <c r="J101" s="27">
        <v>13871.2896</v>
      </c>
      <c r="K101" s="27">
        <v>11997.8856</v>
      </c>
      <c r="L101" s="27" t="s">
        <v>43</v>
      </c>
    </row>
    <row r="102" spans="1:12" x14ac:dyDescent="0.2">
      <c r="A102" s="17"/>
      <c r="B102" s="17"/>
      <c r="C102" s="17"/>
      <c r="D102" s="17"/>
      <c r="E102" s="17"/>
      <c r="F102" s="17"/>
      <c r="G102" s="17"/>
      <c r="H102" s="17"/>
      <c r="I102" s="17"/>
      <c r="J102" s="17"/>
      <c r="K102" s="17"/>
      <c r="L102" s="17"/>
    </row>
    <row r="103" spans="1:12" x14ac:dyDescent="0.2">
      <c r="A103" s="17" t="s">
        <v>261</v>
      </c>
      <c r="B103" s="27">
        <v>450</v>
      </c>
      <c r="C103" s="27">
        <v>575</v>
      </c>
      <c r="D103" s="27">
        <v>769</v>
      </c>
      <c r="E103" s="27" t="s">
        <v>43</v>
      </c>
      <c r="F103" s="27" t="s">
        <v>43</v>
      </c>
      <c r="G103" s="17"/>
      <c r="H103" s="17"/>
      <c r="I103" s="17"/>
      <c r="J103" s="17"/>
      <c r="K103" s="17"/>
      <c r="L103" s="17"/>
    </row>
    <row r="104" spans="1:12" x14ac:dyDescent="0.2">
      <c r="A104" s="17" t="s">
        <v>262</v>
      </c>
      <c r="B104" s="27">
        <v>1216</v>
      </c>
      <c r="C104" s="27">
        <v>1536</v>
      </c>
      <c r="D104" s="27">
        <v>1889</v>
      </c>
      <c r="E104" s="27" t="s">
        <v>43</v>
      </c>
      <c r="F104" s="27" t="s">
        <v>43</v>
      </c>
      <c r="G104" s="17"/>
      <c r="H104" s="17"/>
      <c r="I104" s="17"/>
      <c r="J104" s="17"/>
      <c r="K104" s="17"/>
      <c r="L104" s="17"/>
    </row>
    <row r="105" spans="1:12" x14ac:dyDescent="0.2">
      <c r="A105" s="17" t="s">
        <v>263</v>
      </c>
      <c r="B105" s="27">
        <v>1197</v>
      </c>
      <c r="C105" s="27">
        <v>1475</v>
      </c>
      <c r="D105" s="27">
        <v>1552</v>
      </c>
      <c r="E105" s="27" t="s">
        <v>43</v>
      </c>
      <c r="F105" s="27" t="s">
        <v>43</v>
      </c>
      <c r="G105" s="17"/>
      <c r="H105" s="17"/>
      <c r="I105" s="17"/>
      <c r="J105" s="17"/>
      <c r="K105" s="17"/>
      <c r="L105" s="17"/>
    </row>
    <row r="106" spans="1:12" x14ac:dyDescent="0.2">
      <c r="A106" s="17" t="s">
        <v>109</v>
      </c>
      <c r="B106" s="27" t="s">
        <v>43</v>
      </c>
      <c r="C106" s="27" t="s">
        <v>43</v>
      </c>
      <c r="D106" s="27" t="s">
        <v>43</v>
      </c>
      <c r="E106" s="27">
        <v>4840</v>
      </c>
      <c r="F106" s="27">
        <v>5340</v>
      </c>
      <c r="G106" s="27">
        <v>6068</v>
      </c>
      <c r="H106" s="27">
        <v>6829</v>
      </c>
      <c r="I106" s="27">
        <v>7906</v>
      </c>
      <c r="J106" s="27">
        <v>9038</v>
      </c>
      <c r="K106" s="27">
        <v>10833</v>
      </c>
      <c r="L106" s="27">
        <v>10925</v>
      </c>
    </row>
    <row r="107" spans="1:12" ht="10.5" x14ac:dyDescent="0.2">
      <c r="A107" s="26" t="s">
        <v>110</v>
      </c>
      <c r="B107" s="29">
        <v>2863</v>
      </c>
      <c r="C107" s="29">
        <v>3586</v>
      </c>
      <c r="D107" s="29">
        <v>4210</v>
      </c>
      <c r="E107" s="29">
        <v>4840</v>
      </c>
      <c r="F107" s="29">
        <v>5340</v>
      </c>
      <c r="G107" s="29">
        <v>6068</v>
      </c>
      <c r="H107" s="29">
        <v>6829</v>
      </c>
      <c r="I107" s="29">
        <v>7906</v>
      </c>
      <c r="J107" s="29">
        <v>9038</v>
      </c>
      <c r="K107" s="29">
        <v>10833</v>
      </c>
      <c r="L107" s="29">
        <v>10925</v>
      </c>
    </row>
    <row r="108" spans="1:12" x14ac:dyDescent="0.2">
      <c r="A108" s="17"/>
      <c r="B108" s="17"/>
      <c r="C108" s="17"/>
      <c r="D108" s="17"/>
      <c r="G108" s="17"/>
      <c r="H108" s="17"/>
      <c r="I108" s="17"/>
      <c r="J108" s="17"/>
      <c r="K108" s="17"/>
      <c r="L108" s="17"/>
    </row>
    <row r="109" spans="1:12" x14ac:dyDescent="0.2">
      <c r="A109" s="37" t="s">
        <v>111</v>
      </c>
      <c r="B109" s="37"/>
      <c r="C109" s="37"/>
      <c r="D109" s="37"/>
      <c r="G109" s="38"/>
      <c r="H109" s="38"/>
      <c r="I109" s="38"/>
      <c r="J109" s="38"/>
      <c r="K109" s="38"/>
      <c r="L109" s="38"/>
    </row>
    <row r="110" spans="1:12" x14ac:dyDescent="0.2">
      <c r="A110" s="14" t="s">
        <v>112</v>
      </c>
    </row>
    <row r="117" spans="1:12" ht="17" x14ac:dyDescent="0.35">
      <c r="A117" s="13" t="s">
        <v>149</v>
      </c>
      <c r="B117" s="13"/>
      <c r="C117" s="13"/>
      <c r="D117" s="13"/>
      <c r="E117" s="13"/>
      <c r="F117" s="13"/>
    </row>
    <row r="119" spans="1:12" ht="30.5" x14ac:dyDescent="0.25">
      <c r="A119" s="15" t="s">
        <v>11</v>
      </c>
      <c r="B119" s="15"/>
      <c r="C119" s="15"/>
      <c r="D119" s="15"/>
      <c r="E119" s="15"/>
      <c r="F119" s="15"/>
      <c r="G119" s="16" t="s">
        <v>12</v>
      </c>
      <c r="H119" s="14" t="s">
        <v>13</v>
      </c>
      <c r="I119" s="17" t="s">
        <v>14</v>
      </c>
      <c r="J119" s="16" t="s">
        <v>15</v>
      </c>
      <c r="K119" s="14" t="s">
        <v>16</v>
      </c>
    </row>
    <row r="120" spans="1:12" ht="10.5" x14ac:dyDescent="0.25">
      <c r="A120" s="17"/>
      <c r="B120" s="17"/>
      <c r="C120" s="17"/>
      <c r="D120" s="17"/>
      <c r="E120" s="17"/>
      <c r="F120" s="17"/>
      <c r="G120" s="16" t="s">
        <v>17</v>
      </c>
      <c r="H120" s="14" t="s">
        <v>18</v>
      </c>
      <c r="I120" s="17" t="s">
        <v>14</v>
      </c>
      <c r="J120" s="16" t="s">
        <v>19</v>
      </c>
      <c r="K120" s="14" t="s">
        <v>20</v>
      </c>
    </row>
    <row r="121" spans="1:12" ht="10.5" x14ac:dyDescent="0.25">
      <c r="A121" s="17"/>
      <c r="B121" s="17"/>
      <c r="C121" s="17"/>
      <c r="D121" s="17"/>
      <c r="E121" s="17"/>
      <c r="F121" s="17"/>
      <c r="G121" s="16" t="s">
        <v>21</v>
      </c>
      <c r="H121" s="14" t="s">
        <v>22</v>
      </c>
      <c r="I121" s="17" t="s">
        <v>14</v>
      </c>
      <c r="J121" s="16" t="s">
        <v>23</v>
      </c>
      <c r="K121" s="14" t="s">
        <v>24</v>
      </c>
    </row>
    <row r="122" spans="1:12" ht="10.5" x14ac:dyDescent="0.25">
      <c r="A122" s="17"/>
      <c r="B122" s="17"/>
      <c r="C122" s="17"/>
      <c r="D122" s="17"/>
      <c r="E122" s="17"/>
      <c r="F122" s="17"/>
      <c r="G122" s="16" t="s">
        <v>25</v>
      </c>
      <c r="H122" s="14" t="s">
        <v>26</v>
      </c>
      <c r="I122" s="17" t="s">
        <v>14</v>
      </c>
      <c r="J122" s="16" t="s">
        <v>27</v>
      </c>
      <c r="K122" s="18" t="s">
        <v>28</v>
      </c>
    </row>
    <row r="123" spans="1:12" ht="10.5" x14ac:dyDescent="0.25">
      <c r="A123" s="17"/>
      <c r="B123" s="17"/>
      <c r="C123" s="17"/>
      <c r="D123" s="17"/>
      <c r="E123" s="17"/>
      <c r="F123" s="17"/>
      <c r="G123" s="16" t="s">
        <v>29</v>
      </c>
      <c r="H123" s="14" t="s">
        <v>30</v>
      </c>
      <c r="I123" s="17" t="s">
        <v>14</v>
      </c>
      <c r="J123" s="19"/>
      <c r="K123" s="19"/>
    </row>
    <row r="126" spans="1:12" x14ac:dyDescent="0.2">
      <c r="A126" s="20" t="s">
        <v>150</v>
      </c>
      <c r="B126" s="20"/>
      <c r="C126" s="20"/>
      <c r="D126" s="20"/>
      <c r="E126" s="20"/>
      <c r="F126" s="20"/>
      <c r="G126" s="20"/>
      <c r="H126" s="20"/>
      <c r="I126" s="20"/>
      <c r="J126" s="20"/>
      <c r="K126" s="20"/>
      <c r="L126" s="20"/>
    </row>
    <row r="127" spans="1:12" ht="21" x14ac:dyDescent="0.25">
      <c r="A127" s="22" t="s">
        <v>151</v>
      </c>
      <c r="B127" s="40">
        <v>41909</v>
      </c>
      <c r="C127" s="23" t="s">
        <v>267</v>
      </c>
      <c r="D127" s="40">
        <v>42637</v>
      </c>
      <c r="E127" s="40">
        <v>43008</v>
      </c>
      <c r="F127" s="23" t="s">
        <v>268</v>
      </c>
      <c r="G127" s="40">
        <v>43736</v>
      </c>
      <c r="H127" s="40">
        <v>44100</v>
      </c>
      <c r="I127" s="40">
        <v>44464</v>
      </c>
      <c r="J127" s="40">
        <v>44828</v>
      </c>
      <c r="K127" s="40">
        <v>45199</v>
      </c>
      <c r="L127" s="40">
        <v>45290</v>
      </c>
    </row>
    <row r="128" spans="1:12" x14ac:dyDescent="0.2">
      <c r="A128" s="24" t="s">
        <v>39</v>
      </c>
      <c r="B128" s="25" t="s">
        <v>40</v>
      </c>
      <c r="C128" s="25" t="s">
        <v>40</v>
      </c>
      <c r="D128" s="25" t="s">
        <v>40</v>
      </c>
      <c r="E128" s="25" t="s">
        <v>40</v>
      </c>
      <c r="F128" s="25" t="s">
        <v>40</v>
      </c>
      <c r="G128" s="25" t="s">
        <v>40</v>
      </c>
      <c r="H128" s="25" t="s">
        <v>40</v>
      </c>
      <c r="I128" s="25" t="s">
        <v>40</v>
      </c>
      <c r="J128" s="25" t="s">
        <v>40</v>
      </c>
      <c r="K128" s="25" t="s">
        <v>40</v>
      </c>
      <c r="L128" s="25" t="s">
        <v>40</v>
      </c>
    </row>
    <row r="129" spans="1:12" ht="10.5" x14ac:dyDescent="0.2">
      <c r="A129" s="26" t="s">
        <v>152</v>
      </c>
      <c r="B129" s="17"/>
      <c r="C129" s="17"/>
      <c r="D129" s="17"/>
      <c r="E129" s="17"/>
      <c r="F129" s="17"/>
      <c r="G129" s="17"/>
      <c r="H129" s="17"/>
      <c r="I129" s="17"/>
      <c r="J129" s="17"/>
      <c r="K129" s="17"/>
      <c r="L129" s="17"/>
    </row>
    <row r="130" spans="1:12" x14ac:dyDescent="0.2">
      <c r="A130" s="17" t="s">
        <v>153</v>
      </c>
      <c r="B130" s="27">
        <v>13844</v>
      </c>
      <c r="C130" s="27">
        <v>21120</v>
      </c>
      <c r="D130" s="27">
        <v>20484</v>
      </c>
      <c r="E130" s="27">
        <v>20289</v>
      </c>
      <c r="F130" s="27">
        <v>25913</v>
      </c>
      <c r="G130" s="27">
        <v>48844</v>
      </c>
      <c r="H130" s="27">
        <v>38016</v>
      </c>
      <c r="I130" s="27">
        <v>34940</v>
      </c>
      <c r="J130" s="27">
        <v>23646</v>
      </c>
      <c r="K130" s="27">
        <v>29965</v>
      </c>
      <c r="L130" s="27">
        <v>40760</v>
      </c>
    </row>
    <row r="131" spans="1:12" x14ac:dyDescent="0.2">
      <c r="A131" s="17" t="s">
        <v>154</v>
      </c>
      <c r="B131" s="27">
        <v>11233</v>
      </c>
      <c r="C131" s="27">
        <v>20481</v>
      </c>
      <c r="D131" s="27">
        <v>46671</v>
      </c>
      <c r="E131" s="27">
        <v>53892</v>
      </c>
      <c r="F131" s="27">
        <v>40388</v>
      </c>
      <c r="G131" s="27">
        <v>51713</v>
      </c>
      <c r="H131" s="27">
        <v>52927</v>
      </c>
      <c r="I131" s="27">
        <v>27699</v>
      </c>
      <c r="J131" s="27">
        <v>24658</v>
      </c>
      <c r="K131" s="27">
        <v>31590</v>
      </c>
      <c r="L131" s="27">
        <v>32340</v>
      </c>
    </row>
    <row r="132" spans="1:12" x14ac:dyDescent="0.2">
      <c r="A132" s="17" t="s">
        <v>271</v>
      </c>
      <c r="B132" s="27">
        <v>81</v>
      </c>
      <c r="C132" s="27">
        <v>394</v>
      </c>
      <c r="D132" s="27" t="s">
        <v>43</v>
      </c>
      <c r="E132" s="27" t="s">
        <v>43</v>
      </c>
      <c r="F132" s="27" t="s">
        <v>43</v>
      </c>
      <c r="G132" s="27" t="s">
        <v>43</v>
      </c>
      <c r="H132" s="27" t="s">
        <v>43</v>
      </c>
      <c r="I132" s="27" t="s">
        <v>43</v>
      </c>
      <c r="J132" s="27" t="s">
        <v>43</v>
      </c>
      <c r="K132" s="27" t="s">
        <v>43</v>
      </c>
      <c r="L132" s="27" t="s">
        <v>43</v>
      </c>
    </row>
    <row r="133" spans="1:12" ht="10.5" x14ac:dyDescent="0.2">
      <c r="A133" s="26" t="s">
        <v>155</v>
      </c>
      <c r="B133" s="64">
        <v>25158</v>
      </c>
      <c r="C133" s="64">
        <v>41995</v>
      </c>
      <c r="D133" s="64">
        <v>67155</v>
      </c>
      <c r="E133" s="64">
        <v>74181</v>
      </c>
      <c r="F133" s="64">
        <v>66301</v>
      </c>
      <c r="G133" s="28">
        <v>100557</v>
      </c>
      <c r="H133" s="28">
        <v>90943</v>
      </c>
      <c r="I133" s="28">
        <v>62639</v>
      </c>
      <c r="J133" s="28">
        <v>48304</v>
      </c>
      <c r="K133" s="28">
        <v>61555</v>
      </c>
      <c r="L133" s="28">
        <v>73100</v>
      </c>
    </row>
    <row r="134" spans="1:12" x14ac:dyDescent="0.2">
      <c r="A134" s="17"/>
      <c r="B134" s="17"/>
      <c r="C134" s="17"/>
      <c r="D134" s="17"/>
      <c r="E134" s="17"/>
      <c r="F134" s="17"/>
    </row>
    <row r="135" spans="1:12" x14ac:dyDescent="0.2">
      <c r="A135" s="17" t="s">
        <v>156</v>
      </c>
      <c r="B135" s="27">
        <v>17460</v>
      </c>
      <c r="C135" s="27">
        <v>16849</v>
      </c>
      <c r="D135" s="27">
        <v>15754</v>
      </c>
      <c r="E135" s="27">
        <v>17874</v>
      </c>
      <c r="F135" s="27">
        <v>23186</v>
      </c>
      <c r="G135" s="27">
        <v>22926</v>
      </c>
      <c r="H135" s="27">
        <v>16120</v>
      </c>
      <c r="I135" s="27">
        <v>26278</v>
      </c>
      <c r="J135" s="27">
        <v>28184</v>
      </c>
      <c r="K135" s="27">
        <v>29508</v>
      </c>
      <c r="L135" s="27">
        <v>23194</v>
      </c>
    </row>
    <row r="136" spans="1:12" x14ac:dyDescent="0.2">
      <c r="A136" s="17" t="s">
        <v>157</v>
      </c>
      <c r="B136" s="27">
        <v>9759</v>
      </c>
      <c r="C136" s="27">
        <v>13494</v>
      </c>
      <c r="D136" s="27">
        <v>13545</v>
      </c>
      <c r="E136" s="27">
        <v>17799</v>
      </c>
      <c r="F136" s="27">
        <v>25809</v>
      </c>
      <c r="G136" s="27">
        <v>22878</v>
      </c>
      <c r="H136" s="27">
        <v>21325</v>
      </c>
      <c r="I136" s="27">
        <v>25228</v>
      </c>
      <c r="J136" s="27">
        <v>32748</v>
      </c>
      <c r="K136" s="27">
        <v>31477</v>
      </c>
      <c r="L136" s="27">
        <v>26908</v>
      </c>
    </row>
    <row r="137" spans="1:12" ht="10.5" x14ac:dyDescent="0.2">
      <c r="A137" s="26" t="s">
        <v>158</v>
      </c>
      <c r="B137" s="64">
        <v>27219</v>
      </c>
      <c r="C137" s="64">
        <v>30343</v>
      </c>
      <c r="D137" s="64">
        <v>29299</v>
      </c>
      <c r="E137" s="64">
        <v>35673</v>
      </c>
      <c r="F137" s="64">
        <v>48995</v>
      </c>
      <c r="G137" s="28">
        <v>45804</v>
      </c>
      <c r="H137" s="28">
        <v>37445</v>
      </c>
      <c r="I137" s="28">
        <v>51506</v>
      </c>
      <c r="J137" s="28">
        <v>60932</v>
      </c>
      <c r="K137" s="28">
        <v>60985</v>
      </c>
      <c r="L137" s="28">
        <v>50102</v>
      </c>
    </row>
    <row r="138" spans="1:12" x14ac:dyDescent="0.2">
      <c r="A138" s="17"/>
      <c r="B138" s="17"/>
      <c r="C138" s="17"/>
      <c r="D138" s="17"/>
      <c r="E138" s="17"/>
      <c r="F138" s="17"/>
    </row>
    <row r="139" spans="1:12" x14ac:dyDescent="0.2">
      <c r="A139" s="17" t="s">
        <v>159</v>
      </c>
      <c r="B139" s="27">
        <v>2111</v>
      </c>
      <c r="C139" s="27">
        <v>2349</v>
      </c>
      <c r="D139" s="27">
        <v>2132</v>
      </c>
      <c r="E139" s="27">
        <v>4855</v>
      </c>
      <c r="F139" s="27">
        <v>3956</v>
      </c>
      <c r="G139" s="27">
        <v>4106</v>
      </c>
      <c r="H139" s="27">
        <v>4061</v>
      </c>
      <c r="I139" s="27">
        <v>6580</v>
      </c>
      <c r="J139" s="27">
        <v>4946</v>
      </c>
      <c r="K139" s="27">
        <v>6331</v>
      </c>
      <c r="L139" s="27">
        <v>6511</v>
      </c>
    </row>
    <row r="140" spans="1:12" x14ac:dyDescent="0.2">
      <c r="A140" s="17" t="s">
        <v>160</v>
      </c>
      <c r="B140" s="27">
        <v>4318</v>
      </c>
      <c r="C140" s="27" t="s">
        <v>43</v>
      </c>
      <c r="D140" s="27" t="s">
        <v>43</v>
      </c>
      <c r="E140" s="27" t="s">
        <v>43</v>
      </c>
      <c r="F140" s="27" t="s">
        <v>43</v>
      </c>
      <c r="G140" s="27">
        <v>23</v>
      </c>
      <c r="H140" s="27" t="s">
        <v>43</v>
      </c>
      <c r="I140" s="27" t="s">
        <v>43</v>
      </c>
      <c r="J140" s="27" t="s">
        <v>43</v>
      </c>
      <c r="K140" s="27" t="s">
        <v>43</v>
      </c>
      <c r="L140" s="27" t="s">
        <v>43</v>
      </c>
    </row>
    <row r="141" spans="1:12" x14ac:dyDescent="0.2">
      <c r="A141" s="17" t="s">
        <v>161</v>
      </c>
      <c r="B141" s="27">
        <v>9725</v>
      </c>
      <c r="C141" s="27">
        <v>14691</v>
      </c>
      <c r="D141" s="27">
        <v>8283</v>
      </c>
      <c r="E141" s="27">
        <v>13936</v>
      </c>
      <c r="F141" s="27">
        <v>12087</v>
      </c>
      <c r="G141" s="27">
        <v>12329</v>
      </c>
      <c r="H141" s="27">
        <v>11264</v>
      </c>
      <c r="I141" s="27">
        <v>14111</v>
      </c>
      <c r="J141" s="27">
        <v>21223</v>
      </c>
      <c r="K141" s="27">
        <v>14695</v>
      </c>
      <c r="L141" s="27">
        <v>13979</v>
      </c>
    </row>
    <row r="142" spans="1:12" ht="10.5" x14ac:dyDescent="0.2">
      <c r="A142" s="26" t="s">
        <v>162</v>
      </c>
      <c r="B142" s="64">
        <v>68531</v>
      </c>
      <c r="C142" s="64">
        <v>89378</v>
      </c>
      <c r="D142" s="64">
        <v>106869</v>
      </c>
      <c r="E142" s="64">
        <v>128645</v>
      </c>
      <c r="F142" s="64">
        <v>131339</v>
      </c>
      <c r="G142" s="28">
        <v>162819</v>
      </c>
      <c r="H142" s="28">
        <v>143713</v>
      </c>
      <c r="I142" s="28">
        <v>134836</v>
      </c>
      <c r="J142" s="28">
        <v>135405</v>
      </c>
      <c r="K142" s="28">
        <v>143566</v>
      </c>
      <c r="L142" s="28">
        <v>143692</v>
      </c>
    </row>
    <row r="143" spans="1:12" x14ac:dyDescent="0.2">
      <c r="A143" s="17"/>
      <c r="B143" s="17"/>
      <c r="C143" s="17"/>
      <c r="D143" s="17"/>
      <c r="E143" s="17"/>
      <c r="F143" s="17"/>
    </row>
    <row r="144" spans="1:12" x14ac:dyDescent="0.2">
      <c r="A144" s="17" t="s">
        <v>163</v>
      </c>
      <c r="B144" s="27">
        <v>39015</v>
      </c>
      <c r="C144" s="27">
        <v>49257</v>
      </c>
      <c r="D144" s="27">
        <v>61245</v>
      </c>
      <c r="E144" s="27">
        <v>75076</v>
      </c>
      <c r="F144" s="27">
        <v>90403</v>
      </c>
      <c r="G144" s="27">
        <v>95957</v>
      </c>
      <c r="H144" s="27">
        <v>112096</v>
      </c>
      <c r="I144" s="27">
        <v>119810</v>
      </c>
      <c r="J144" s="27">
        <v>124874</v>
      </c>
      <c r="K144" s="27">
        <v>125260</v>
      </c>
      <c r="L144" s="27">
        <v>116176</v>
      </c>
    </row>
    <row r="145" spans="1:12" x14ac:dyDescent="0.2">
      <c r="A145" s="17" t="s">
        <v>164</v>
      </c>
      <c r="B145" s="27">
        <v>-18391</v>
      </c>
      <c r="C145" s="27">
        <v>-26786</v>
      </c>
      <c r="D145" s="27">
        <v>-34235</v>
      </c>
      <c r="E145" s="27">
        <v>-41293</v>
      </c>
      <c r="F145" s="27">
        <v>-49099</v>
      </c>
      <c r="G145" s="27">
        <v>-58579</v>
      </c>
      <c r="H145" s="27">
        <v>-66760</v>
      </c>
      <c r="I145" s="27">
        <v>-70283</v>
      </c>
      <c r="J145" s="27">
        <v>-72340</v>
      </c>
      <c r="K145" s="27">
        <v>-70884</v>
      </c>
      <c r="L145" s="27">
        <v>-72510</v>
      </c>
    </row>
    <row r="146" spans="1:12" ht="10.5" x14ac:dyDescent="0.2">
      <c r="A146" s="26" t="s">
        <v>165</v>
      </c>
      <c r="B146" s="64">
        <v>20624</v>
      </c>
      <c r="C146" s="64">
        <v>22471</v>
      </c>
      <c r="D146" s="64">
        <v>27010</v>
      </c>
      <c r="E146" s="64">
        <v>33783</v>
      </c>
      <c r="F146" s="64">
        <v>41304</v>
      </c>
      <c r="G146" s="28">
        <v>37378</v>
      </c>
      <c r="H146" s="28">
        <v>45336</v>
      </c>
      <c r="I146" s="28">
        <v>49527</v>
      </c>
      <c r="J146" s="28">
        <v>52534</v>
      </c>
      <c r="K146" s="28">
        <v>54376</v>
      </c>
      <c r="L146" s="28">
        <v>43666</v>
      </c>
    </row>
    <row r="147" spans="1:12" x14ac:dyDescent="0.2">
      <c r="A147" s="17"/>
      <c r="B147" s="17"/>
      <c r="C147" s="17"/>
      <c r="D147" s="17"/>
      <c r="E147" s="17"/>
      <c r="F147" s="17"/>
    </row>
    <row r="148" spans="1:12" x14ac:dyDescent="0.2">
      <c r="A148" s="17" t="s">
        <v>166</v>
      </c>
      <c r="B148" s="27">
        <v>130162</v>
      </c>
      <c r="C148" s="27">
        <v>164065</v>
      </c>
      <c r="D148" s="27">
        <v>170430</v>
      </c>
      <c r="E148" s="27">
        <v>194714</v>
      </c>
      <c r="F148" s="27">
        <v>170799</v>
      </c>
      <c r="G148" s="27">
        <v>105341</v>
      </c>
      <c r="H148" s="27">
        <v>100887</v>
      </c>
      <c r="I148" s="27">
        <v>127877</v>
      </c>
      <c r="J148" s="27">
        <v>120805</v>
      </c>
      <c r="K148" s="27">
        <v>100544</v>
      </c>
      <c r="L148" s="27">
        <v>99475</v>
      </c>
    </row>
    <row r="149" spans="1:12" x14ac:dyDescent="0.2">
      <c r="A149" s="17" t="s">
        <v>272</v>
      </c>
      <c r="B149" s="27">
        <v>4616</v>
      </c>
      <c r="C149" s="27">
        <v>5116</v>
      </c>
      <c r="D149" s="27">
        <v>5414</v>
      </c>
      <c r="E149" s="27" t="s">
        <v>43</v>
      </c>
      <c r="F149" s="27" t="s">
        <v>43</v>
      </c>
      <c r="G149" s="27" t="s">
        <v>43</v>
      </c>
      <c r="H149" s="27" t="s">
        <v>43</v>
      </c>
      <c r="I149" s="27" t="s">
        <v>43</v>
      </c>
      <c r="J149" s="27" t="s">
        <v>43</v>
      </c>
      <c r="K149" s="27" t="s">
        <v>43</v>
      </c>
      <c r="L149" s="27" t="s">
        <v>43</v>
      </c>
    </row>
    <row r="150" spans="1:12" x14ac:dyDescent="0.2">
      <c r="A150" s="17" t="s">
        <v>273</v>
      </c>
      <c r="B150" s="27">
        <v>4142</v>
      </c>
      <c r="C150" s="27">
        <v>3893</v>
      </c>
      <c r="D150" s="27">
        <v>3206</v>
      </c>
      <c r="E150" s="27" t="s">
        <v>43</v>
      </c>
      <c r="F150" s="27" t="s">
        <v>43</v>
      </c>
      <c r="G150" s="27" t="s">
        <v>43</v>
      </c>
      <c r="H150" s="27" t="s">
        <v>43</v>
      </c>
      <c r="I150" s="27" t="s">
        <v>43</v>
      </c>
      <c r="J150" s="27" t="s">
        <v>43</v>
      </c>
      <c r="K150" s="27" t="s">
        <v>43</v>
      </c>
      <c r="L150" s="27" t="s">
        <v>43</v>
      </c>
    </row>
    <row r="151" spans="1:12" x14ac:dyDescent="0.2">
      <c r="A151" s="17" t="s">
        <v>167</v>
      </c>
      <c r="B151" s="27">
        <v>3764</v>
      </c>
      <c r="C151" s="27">
        <v>5422</v>
      </c>
      <c r="D151" s="27">
        <v>8757</v>
      </c>
      <c r="E151" s="27">
        <v>18177</v>
      </c>
      <c r="F151" s="27">
        <v>22283</v>
      </c>
      <c r="G151" s="27">
        <v>32978</v>
      </c>
      <c r="H151" s="27">
        <v>33952</v>
      </c>
      <c r="I151" s="27">
        <v>38762</v>
      </c>
      <c r="J151" s="27">
        <v>44011</v>
      </c>
      <c r="K151" s="27">
        <v>54097</v>
      </c>
      <c r="L151" s="27">
        <v>66681</v>
      </c>
    </row>
    <row r="152" spans="1:12" ht="10.5" x14ac:dyDescent="0.2">
      <c r="A152" s="26" t="s">
        <v>168</v>
      </c>
      <c r="B152" s="65">
        <v>231839</v>
      </c>
      <c r="C152" s="65">
        <v>290345</v>
      </c>
      <c r="D152" s="65">
        <v>321686</v>
      </c>
      <c r="E152" s="65">
        <v>375319</v>
      </c>
      <c r="F152" s="65">
        <v>365725</v>
      </c>
      <c r="G152" s="30">
        <v>338516</v>
      </c>
      <c r="H152" s="30">
        <v>323888</v>
      </c>
      <c r="I152" s="30">
        <v>351002</v>
      </c>
      <c r="J152" s="30">
        <v>352755</v>
      </c>
      <c r="K152" s="30">
        <v>352583</v>
      </c>
      <c r="L152" s="30">
        <v>353514</v>
      </c>
    </row>
    <row r="153" spans="1:12" x14ac:dyDescent="0.2">
      <c r="A153" s="17"/>
      <c r="B153" s="17"/>
      <c r="C153" s="17"/>
      <c r="D153" s="17"/>
      <c r="E153" s="17"/>
      <c r="F153" s="17"/>
    </row>
    <row r="154" spans="1:12" ht="10.5" x14ac:dyDescent="0.2">
      <c r="A154" s="26" t="s">
        <v>169</v>
      </c>
      <c r="B154" s="17"/>
      <c r="C154" s="17"/>
      <c r="D154" s="17"/>
      <c r="E154" s="17"/>
      <c r="F154" s="17"/>
    </row>
    <row r="155" spans="1:12" x14ac:dyDescent="0.2">
      <c r="A155" s="17" t="s">
        <v>170</v>
      </c>
      <c r="B155" s="27">
        <v>30196</v>
      </c>
      <c r="C155" s="27">
        <v>35490</v>
      </c>
      <c r="D155" s="27">
        <v>37294</v>
      </c>
      <c r="E155" s="27">
        <v>44242</v>
      </c>
      <c r="F155" s="27">
        <v>55888</v>
      </c>
      <c r="G155" s="27">
        <v>46236</v>
      </c>
      <c r="H155" s="27">
        <v>42296</v>
      </c>
      <c r="I155" s="27">
        <v>54763</v>
      </c>
      <c r="J155" s="27">
        <v>64115</v>
      </c>
      <c r="K155" s="27">
        <v>62611</v>
      </c>
      <c r="L155" s="27">
        <v>58146</v>
      </c>
    </row>
    <row r="156" spans="1:12" x14ac:dyDescent="0.2">
      <c r="A156" s="17" t="s">
        <v>171</v>
      </c>
      <c r="B156" s="27">
        <v>18372</v>
      </c>
      <c r="C156" s="27">
        <v>23169</v>
      </c>
      <c r="D156" s="27">
        <v>21864</v>
      </c>
      <c r="E156" s="27" t="s">
        <v>43</v>
      </c>
      <c r="F156" s="27" t="s">
        <v>43</v>
      </c>
      <c r="G156" s="27">
        <v>5980</v>
      </c>
      <c r="H156" s="27">
        <v>4996</v>
      </c>
      <c r="I156" s="27">
        <v>6000</v>
      </c>
      <c r="J156" s="27">
        <v>9982</v>
      </c>
      <c r="K156" s="27">
        <v>5985</v>
      </c>
      <c r="L156" s="27">
        <v>1998</v>
      </c>
    </row>
    <row r="157" spans="1:12" x14ac:dyDescent="0.2">
      <c r="A157" s="17" t="s">
        <v>172</v>
      </c>
      <c r="B157" s="27">
        <v>6308</v>
      </c>
      <c r="C157" s="27">
        <v>8499</v>
      </c>
      <c r="D157" s="27">
        <v>8105</v>
      </c>
      <c r="E157" s="27">
        <v>11977</v>
      </c>
      <c r="F157" s="27">
        <v>11964</v>
      </c>
      <c r="G157" s="27">
        <v>10260</v>
      </c>
      <c r="H157" s="27">
        <v>8773</v>
      </c>
      <c r="I157" s="27">
        <v>9613</v>
      </c>
      <c r="J157" s="27">
        <v>11128</v>
      </c>
      <c r="K157" s="27">
        <v>9822</v>
      </c>
      <c r="L157" s="27">
        <v>10954</v>
      </c>
    </row>
    <row r="158" spans="1:12" x14ac:dyDescent="0.2">
      <c r="A158" s="17" t="s">
        <v>173</v>
      </c>
      <c r="B158" s="27" t="s">
        <v>43</v>
      </c>
      <c r="C158" s="27">
        <v>2513</v>
      </c>
      <c r="D158" s="27">
        <v>3500</v>
      </c>
      <c r="E158" s="27">
        <v>6496</v>
      </c>
      <c r="F158" s="27">
        <v>8784</v>
      </c>
      <c r="G158" s="27" t="s">
        <v>43</v>
      </c>
      <c r="H158" s="27">
        <v>1460</v>
      </c>
      <c r="I158" s="27">
        <v>1528</v>
      </c>
      <c r="J158" s="27">
        <v>1663</v>
      </c>
      <c r="K158" s="27">
        <v>1575</v>
      </c>
      <c r="L158" s="27" t="s">
        <v>43</v>
      </c>
    </row>
    <row r="159" spans="1:12" x14ac:dyDescent="0.2">
      <c r="A159" s="17" t="s">
        <v>174</v>
      </c>
      <c r="B159" s="27">
        <v>8491</v>
      </c>
      <c r="C159" s="27">
        <v>8940</v>
      </c>
      <c r="D159" s="27">
        <v>8080</v>
      </c>
      <c r="E159" s="27">
        <v>7548</v>
      </c>
      <c r="F159" s="27">
        <v>5966</v>
      </c>
      <c r="G159" s="27">
        <v>5522</v>
      </c>
      <c r="H159" s="27">
        <v>6643</v>
      </c>
      <c r="I159" s="27">
        <v>7612</v>
      </c>
      <c r="J159" s="27">
        <v>7912</v>
      </c>
      <c r="K159" s="27">
        <v>8061</v>
      </c>
      <c r="L159" s="27">
        <v>8264</v>
      </c>
    </row>
    <row r="160" spans="1:12" x14ac:dyDescent="0.2">
      <c r="A160" s="17" t="s">
        <v>175</v>
      </c>
      <c r="B160" s="27">
        <v>81</v>
      </c>
      <c r="C160" s="27">
        <v>1999</v>
      </c>
      <c r="D160" s="27">
        <v>163</v>
      </c>
      <c r="E160" s="27">
        <v>30551</v>
      </c>
      <c r="F160" s="27">
        <v>33327</v>
      </c>
      <c r="G160" s="27">
        <v>37720</v>
      </c>
      <c r="H160" s="27">
        <v>41224</v>
      </c>
      <c r="I160" s="27">
        <v>45965</v>
      </c>
      <c r="J160" s="27">
        <v>59182</v>
      </c>
      <c r="K160" s="27">
        <v>57254</v>
      </c>
      <c r="L160" s="27">
        <v>54611</v>
      </c>
    </row>
    <row r="161" spans="1:12" ht="10.5" x14ac:dyDescent="0.2">
      <c r="A161" s="26" t="s">
        <v>176</v>
      </c>
      <c r="B161" s="64">
        <v>63448</v>
      </c>
      <c r="C161" s="64">
        <v>80610</v>
      </c>
      <c r="D161" s="64">
        <v>79006</v>
      </c>
      <c r="E161" s="64">
        <v>100814</v>
      </c>
      <c r="F161" s="64">
        <v>115929</v>
      </c>
      <c r="G161" s="28">
        <v>105718</v>
      </c>
      <c r="H161" s="28">
        <v>105392</v>
      </c>
      <c r="I161" s="28">
        <v>125481</v>
      </c>
      <c r="J161" s="28">
        <v>153982</v>
      </c>
      <c r="K161" s="28">
        <v>145308</v>
      </c>
      <c r="L161" s="28">
        <v>133973</v>
      </c>
    </row>
    <row r="162" spans="1:12" x14ac:dyDescent="0.2">
      <c r="A162" s="17"/>
      <c r="B162" s="17"/>
      <c r="C162" s="17"/>
      <c r="D162" s="17"/>
      <c r="E162" s="17"/>
      <c r="F162" s="17"/>
    </row>
    <row r="163" spans="1:12" x14ac:dyDescent="0.2">
      <c r="A163" s="17" t="s">
        <v>177</v>
      </c>
      <c r="B163" s="27">
        <v>28987</v>
      </c>
      <c r="C163" s="27">
        <v>53329</v>
      </c>
      <c r="D163" s="27">
        <v>75427</v>
      </c>
      <c r="E163" s="27">
        <v>97207</v>
      </c>
      <c r="F163" s="27">
        <v>93735</v>
      </c>
      <c r="G163" s="27">
        <v>91807</v>
      </c>
      <c r="H163" s="27">
        <v>98667</v>
      </c>
      <c r="I163" s="27">
        <v>109106</v>
      </c>
      <c r="J163" s="27">
        <v>98959</v>
      </c>
      <c r="K163" s="27">
        <v>95281</v>
      </c>
      <c r="L163" s="27">
        <v>95088</v>
      </c>
    </row>
    <row r="164" spans="1:12" x14ac:dyDescent="0.2">
      <c r="A164" s="17" t="s">
        <v>178</v>
      </c>
      <c r="B164" s="14" t="s">
        <v>43</v>
      </c>
      <c r="C164" s="14" t="s">
        <v>43</v>
      </c>
      <c r="D164" s="14" t="s">
        <v>43</v>
      </c>
      <c r="E164" s="14" t="s">
        <v>43</v>
      </c>
      <c r="F164" s="27" t="s">
        <v>43</v>
      </c>
      <c r="G164" s="27" t="s">
        <v>43</v>
      </c>
      <c r="H164" s="27">
        <v>8382</v>
      </c>
      <c r="I164" s="27">
        <v>10275</v>
      </c>
      <c r="J164" s="27">
        <v>10748</v>
      </c>
      <c r="K164" s="27">
        <v>11267</v>
      </c>
      <c r="L164" s="27" t="s">
        <v>43</v>
      </c>
    </row>
    <row r="165" spans="1:12" x14ac:dyDescent="0.2">
      <c r="A165" s="17" t="s">
        <v>274</v>
      </c>
      <c r="B165" s="27">
        <v>3031</v>
      </c>
      <c r="C165" s="27">
        <v>3624</v>
      </c>
      <c r="D165" s="27">
        <v>2930</v>
      </c>
      <c r="E165" s="27">
        <v>2836</v>
      </c>
      <c r="F165" s="27" t="s">
        <v>43</v>
      </c>
      <c r="G165" s="27" t="s">
        <v>43</v>
      </c>
      <c r="H165" s="27" t="s">
        <v>43</v>
      </c>
      <c r="I165" s="27" t="s">
        <v>43</v>
      </c>
      <c r="J165" s="27" t="s">
        <v>43</v>
      </c>
      <c r="K165" s="27" t="s">
        <v>43</v>
      </c>
      <c r="L165" s="27" t="s">
        <v>43</v>
      </c>
    </row>
    <row r="166" spans="1:12" x14ac:dyDescent="0.2">
      <c r="A166" s="17" t="s">
        <v>275</v>
      </c>
      <c r="B166" s="27">
        <v>20259</v>
      </c>
      <c r="C166" s="27">
        <v>24062</v>
      </c>
      <c r="D166" s="27">
        <v>26019</v>
      </c>
      <c r="E166" s="27">
        <v>31504</v>
      </c>
      <c r="F166" s="27" t="s">
        <v>43</v>
      </c>
      <c r="G166" s="27" t="s">
        <v>43</v>
      </c>
      <c r="H166" s="27" t="s">
        <v>43</v>
      </c>
      <c r="I166" s="27" t="s">
        <v>43</v>
      </c>
      <c r="J166" s="27" t="s">
        <v>43</v>
      </c>
      <c r="K166" s="27" t="s">
        <v>43</v>
      </c>
      <c r="L166" s="27" t="s">
        <v>43</v>
      </c>
    </row>
    <row r="167" spans="1:12" x14ac:dyDescent="0.2">
      <c r="A167" s="17" t="s">
        <v>179</v>
      </c>
      <c r="B167" s="27">
        <v>4567</v>
      </c>
      <c r="C167" s="27">
        <v>9365</v>
      </c>
      <c r="D167" s="27">
        <v>10055</v>
      </c>
      <c r="E167" s="27">
        <v>8911</v>
      </c>
      <c r="F167" s="27">
        <v>48914</v>
      </c>
      <c r="G167" s="27">
        <v>50503</v>
      </c>
      <c r="H167" s="27">
        <v>46108</v>
      </c>
      <c r="I167" s="27">
        <v>43050</v>
      </c>
      <c r="J167" s="27">
        <v>38394</v>
      </c>
      <c r="K167" s="27">
        <v>38581</v>
      </c>
      <c r="L167" s="27">
        <v>50353</v>
      </c>
    </row>
    <row r="168" spans="1:12" ht="10.5" x14ac:dyDescent="0.2">
      <c r="A168" s="26" t="s">
        <v>180</v>
      </c>
      <c r="B168" s="64">
        <v>120292</v>
      </c>
      <c r="C168" s="64">
        <v>170990</v>
      </c>
      <c r="D168" s="64">
        <v>193437</v>
      </c>
      <c r="E168" s="64">
        <v>241272</v>
      </c>
      <c r="F168" s="64">
        <v>258578</v>
      </c>
      <c r="G168" s="28">
        <v>248028</v>
      </c>
      <c r="H168" s="28">
        <v>258549</v>
      </c>
      <c r="I168" s="28">
        <v>287912</v>
      </c>
      <c r="J168" s="28">
        <v>302083</v>
      </c>
      <c r="K168" s="28">
        <v>290437</v>
      </c>
      <c r="L168" s="28">
        <v>279414</v>
      </c>
    </row>
    <row r="169" spans="1:12" x14ac:dyDescent="0.2">
      <c r="A169" s="17"/>
    </row>
    <row r="170" spans="1:12" x14ac:dyDescent="0.2">
      <c r="A170" s="17" t="s">
        <v>181</v>
      </c>
      <c r="B170" s="27">
        <v>23313</v>
      </c>
      <c r="C170" s="27">
        <v>27416</v>
      </c>
      <c r="D170" s="27">
        <v>31251</v>
      </c>
      <c r="E170" s="27">
        <v>35867</v>
      </c>
      <c r="F170" s="27">
        <v>40201</v>
      </c>
      <c r="G170" s="27">
        <v>45174</v>
      </c>
      <c r="H170" s="27">
        <v>50779</v>
      </c>
      <c r="I170" s="27">
        <v>57365</v>
      </c>
      <c r="J170" s="27">
        <v>64849</v>
      </c>
      <c r="K170" s="27">
        <v>73812</v>
      </c>
      <c r="L170" s="27">
        <v>75236</v>
      </c>
    </row>
    <row r="171" spans="1:12" x14ac:dyDescent="0.2">
      <c r="A171" s="17" t="s">
        <v>182</v>
      </c>
      <c r="B171" s="27" t="s">
        <v>43</v>
      </c>
      <c r="C171" s="27" t="s">
        <v>43</v>
      </c>
      <c r="D171" s="27" t="s">
        <v>43</v>
      </c>
      <c r="E171" s="27" t="s">
        <v>43</v>
      </c>
      <c r="F171" s="27" t="s">
        <v>43</v>
      </c>
      <c r="G171" s="27" t="s">
        <v>43</v>
      </c>
      <c r="H171" s="27" t="s">
        <v>43</v>
      </c>
      <c r="I171" s="27" t="s">
        <v>43</v>
      </c>
      <c r="J171" s="27" t="s">
        <v>43</v>
      </c>
      <c r="K171" s="27" t="s">
        <v>43</v>
      </c>
      <c r="L171" s="27" t="s">
        <v>43</v>
      </c>
    </row>
    <row r="172" spans="1:12" x14ac:dyDescent="0.2">
      <c r="A172" s="17" t="s">
        <v>183</v>
      </c>
      <c r="B172" s="27">
        <v>87152</v>
      </c>
      <c r="C172" s="27">
        <v>92284</v>
      </c>
      <c r="D172" s="27">
        <v>96364</v>
      </c>
      <c r="E172" s="27">
        <v>98330</v>
      </c>
      <c r="F172" s="27">
        <v>70400</v>
      </c>
      <c r="G172" s="27">
        <v>45898</v>
      </c>
      <c r="H172" s="27">
        <v>14966</v>
      </c>
      <c r="I172" s="27">
        <v>5562</v>
      </c>
      <c r="J172" s="27">
        <v>-3068</v>
      </c>
      <c r="K172" s="27">
        <v>-214</v>
      </c>
      <c r="L172" s="27">
        <v>8242</v>
      </c>
    </row>
    <row r="173" spans="1:12" x14ac:dyDescent="0.2">
      <c r="A173" s="17" t="s">
        <v>184</v>
      </c>
      <c r="B173" s="27" t="s">
        <v>43</v>
      </c>
      <c r="C173" s="27" t="s">
        <v>43</v>
      </c>
      <c r="D173" s="27" t="s">
        <v>43</v>
      </c>
      <c r="E173" s="27" t="s">
        <v>43</v>
      </c>
      <c r="F173" s="27" t="s">
        <v>43</v>
      </c>
      <c r="G173" s="27" t="s">
        <v>43</v>
      </c>
      <c r="H173" s="27" t="s">
        <v>43</v>
      </c>
      <c r="I173" s="27" t="s">
        <v>43</v>
      </c>
      <c r="J173" s="27" t="s">
        <v>43</v>
      </c>
      <c r="K173" s="27" t="s">
        <v>43</v>
      </c>
      <c r="L173" s="27" t="s">
        <v>43</v>
      </c>
    </row>
    <row r="174" spans="1:12" x14ac:dyDescent="0.2">
      <c r="A174" s="17" t="s">
        <v>185</v>
      </c>
      <c r="B174" s="27">
        <v>1082</v>
      </c>
      <c r="C174" s="27">
        <v>-345</v>
      </c>
      <c r="D174" s="27">
        <v>634</v>
      </c>
      <c r="E174" s="27">
        <v>-150</v>
      </c>
      <c r="F174" s="27">
        <v>-3454</v>
      </c>
      <c r="G174" s="27">
        <v>-584</v>
      </c>
      <c r="H174" s="27">
        <v>-406</v>
      </c>
      <c r="I174" s="27">
        <v>163</v>
      </c>
      <c r="J174" s="27">
        <v>-11109</v>
      </c>
      <c r="K174" s="27">
        <v>-11452</v>
      </c>
      <c r="L174" s="27">
        <v>-9378</v>
      </c>
    </row>
    <row r="175" spans="1:12" ht="10.5" x14ac:dyDescent="0.2">
      <c r="A175" s="26" t="s">
        <v>186</v>
      </c>
      <c r="B175" s="64">
        <v>111547</v>
      </c>
      <c r="C175" s="64">
        <v>119355</v>
      </c>
      <c r="D175" s="64">
        <v>128249</v>
      </c>
      <c r="E175" s="64">
        <v>134047</v>
      </c>
      <c r="F175" s="64">
        <v>107147</v>
      </c>
      <c r="G175" s="28">
        <v>90488</v>
      </c>
      <c r="H175" s="28">
        <v>65339</v>
      </c>
      <c r="I175" s="28">
        <v>63090</v>
      </c>
      <c r="J175" s="28">
        <v>50672</v>
      </c>
      <c r="K175" s="28">
        <v>62146</v>
      </c>
      <c r="L175" s="28">
        <v>74100</v>
      </c>
    </row>
    <row r="176" spans="1:12" x14ac:dyDescent="0.2">
      <c r="B176" s="17"/>
      <c r="C176" s="17"/>
      <c r="D176" s="17"/>
      <c r="E176" s="17"/>
      <c r="F176" s="17"/>
      <c r="G176" s="17"/>
      <c r="H176" s="17"/>
      <c r="I176" s="17"/>
      <c r="J176" s="17"/>
      <c r="K176" s="17"/>
      <c r="L176" s="17"/>
    </row>
    <row r="177" spans="1:12" ht="10.5" x14ac:dyDescent="0.2">
      <c r="A177" s="26" t="s">
        <v>187</v>
      </c>
      <c r="B177" s="41">
        <v>111547</v>
      </c>
      <c r="C177" s="41">
        <v>119355</v>
      </c>
      <c r="D177" s="41">
        <v>128249</v>
      </c>
      <c r="E177" s="41">
        <v>134047</v>
      </c>
      <c r="F177" s="41">
        <v>107147</v>
      </c>
      <c r="G177" s="41">
        <v>90488</v>
      </c>
      <c r="H177" s="41">
        <v>65339</v>
      </c>
      <c r="I177" s="41">
        <v>63090</v>
      </c>
      <c r="J177" s="41">
        <v>50672</v>
      </c>
      <c r="K177" s="41">
        <v>62146</v>
      </c>
      <c r="L177" s="41">
        <v>74100</v>
      </c>
    </row>
    <row r="178" spans="1:12" x14ac:dyDescent="0.2">
      <c r="B178" s="17"/>
      <c r="C178" s="17"/>
      <c r="D178" s="17"/>
      <c r="E178" s="17"/>
      <c r="F178" s="17"/>
      <c r="G178" s="17"/>
      <c r="H178" s="17"/>
      <c r="I178" s="17"/>
      <c r="J178" s="17"/>
      <c r="K178" s="17"/>
      <c r="L178" s="17"/>
    </row>
    <row r="179" spans="1:12" ht="10.5" x14ac:dyDescent="0.2">
      <c r="A179" s="26" t="s">
        <v>188</v>
      </c>
      <c r="B179" s="42">
        <v>231839</v>
      </c>
      <c r="C179" s="42">
        <v>290345</v>
      </c>
      <c r="D179" s="42">
        <v>321686</v>
      </c>
      <c r="E179" s="42">
        <v>375319</v>
      </c>
      <c r="F179" s="42">
        <v>365725</v>
      </c>
      <c r="G179" s="42">
        <v>338516</v>
      </c>
      <c r="H179" s="42">
        <v>323888</v>
      </c>
      <c r="I179" s="42">
        <v>351002</v>
      </c>
      <c r="J179" s="42">
        <v>352755</v>
      </c>
      <c r="K179" s="42">
        <v>352583</v>
      </c>
      <c r="L179" s="42">
        <v>353514</v>
      </c>
    </row>
    <row r="180" spans="1:12" x14ac:dyDescent="0.2">
      <c r="B180" s="17"/>
      <c r="C180" s="17"/>
      <c r="D180" s="17"/>
      <c r="E180" s="17"/>
      <c r="F180" s="17"/>
    </row>
    <row r="181" spans="1:12" ht="10.5" x14ac:dyDescent="0.2">
      <c r="A181" s="26" t="s">
        <v>83</v>
      </c>
      <c r="B181" s="17"/>
      <c r="C181" s="17"/>
      <c r="D181" s="17"/>
      <c r="E181" s="17"/>
      <c r="F181" s="17"/>
    </row>
    <row r="182" spans="1:12" x14ac:dyDescent="0.2">
      <c r="A182" s="17" t="s">
        <v>189</v>
      </c>
      <c r="B182" s="27">
        <v>23459.360000000001</v>
      </c>
      <c r="C182" s="27">
        <v>22301.324000000001</v>
      </c>
      <c r="D182" s="27">
        <v>21329.252</v>
      </c>
      <c r="E182" s="27">
        <v>20537.248</v>
      </c>
      <c r="F182" s="27">
        <v>18981.592000000001</v>
      </c>
      <c r="G182" s="27">
        <v>17773.060000000001</v>
      </c>
      <c r="H182" s="27">
        <v>17001.802</v>
      </c>
      <c r="I182" s="27">
        <v>16406.397000000001</v>
      </c>
      <c r="J182" s="27">
        <v>15908.118</v>
      </c>
      <c r="K182" s="27">
        <v>15552.752</v>
      </c>
      <c r="L182" s="27">
        <v>15441.880999999999</v>
      </c>
    </row>
    <row r="183" spans="1:12" x14ac:dyDescent="0.2">
      <c r="A183" s="17" t="s">
        <v>190</v>
      </c>
      <c r="B183" s="27">
        <v>23464.644</v>
      </c>
      <c r="C183" s="27">
        <v>22315.011999999999</v>
      </c>
      <c r="D183" s="27">
        <v>21344.664000000001</v>
      </c>
      <c r="E183" s="27">
        <v>20504.804</v>
      </c>
      <c r="F183" s="27">
        <v>19019.944</v>
      </c>
      <c r="G183" s="27">
        <v>17772.944</v>
      </c>
      <c r="H183" s="27">
        <v>16976.762999999999</v>
      </c>
      <c r="I183" s="27">
        <v>16426.786</v>
      </c>
      <c r="J183" s="27">
        <v>15943.424999999999</v>
      </c>
      <c r="K183" s="27">
        <v>15550.061</v>
      </c>
      <c r="L183" s="27">
        <v>15460.223</v>
      </c>
    </row>
    <row r="184" spans="1:12" x14ac:dyDescent="0.2">
      <c r="A184" s="17" t="s">
        <v>191</v>
      </c>
      <c r="B184" s="31">
        <v>4.75</v>
      </c>
      <c r="C184" s="31">
        <v>5.35</v>
      </c>
      <c r="D184" s="31">
        <v>6.01</v>
      </c>
      <c r="E184" s="31">
        <v>6.54</v>
      </c>
      <c r="F184" s="31">
        <v>5.63</v>
      </c>
      <c r="G184" s="31">
        <v>5.09</v>
      </c>
      <c r="H184" s="31">
        <v>3.85</v>
      </c>
      <c r="I184" s="31">
        <v>3.84</v>
      </c>
      <c r="J184" s="31">
        <v>3.18</v>
      </c>
      <c r="K184" s="31">
        <v>4</v>
      </c>
      <c r="L184" s="31">
        <v>4.79</v>
      </c>
    </row>
    <row r="185" spans="1:12" x14ac:dyDescent="0.2">
      <c r="A185" s="17" t="s">
        <v>192</v>
      </c>
      <c r="B185" s="27">
        <v>102789</v>
      </c>
      <c r="C185" s="27">
        <v>110346</v>
      </c>
      <c r="D185" s="27">
        <v>119629</v>
      </c>
      <c r="E185" s="27">
        <v>134047</v>
      </c>
      <c r="F185" s="27">
        <v>107147</v>
      </c>
      <c r="G185" s="27">
        <v>90488</v>
      </c>
      <c r="H185" s="27">
        <v>65339</v>
      </c>
      <c r="I185" s="27">
        <v>63090</v>
      </c>
      <c r="J185" s="27">
        <v>50672</v>
      </c>
      <c r="K185" s="27">
        <v>62146</v>
      </c>
      <c r="L185" s="27">
        <v>74100</v>
      </c>
    </row>
    <row r="186" spans="1:12" x14ac:dyDescent="0.2">
      <c r="A186" s="17" t="s">
        <v>193</v>
      </c>
      <c r="B186" s="31">
        <v>4.38</v>
      </c>
      <c r="C186" s="31">
        <v>4.9400000000000004</v>
      </c>
      <c r="D186" s="31">
        <v>5.6</v>
      </c>
      <c r="E186" s="31">
        <v>6.54</v>
      </c>
      <c r="F186" s="31">
        <v>5.63</v>
      </c>
      <c r="G186" s="31">
        <v>5.09</v>
      </c>
      <c r="H186" s="31">
        <v>3.85</v>
      </c>
      <c r="I186" s="31">
        <v>3.84</v>
      </c>
      <c r="J186" s="31">
        <v>3.18</v>
      </c>
      <c r="K186" s="31">
        <v>4</v>
      </c>
      <c r="L186" s="31">
        <v>4.79</v>
      </c>
    </row>
    <row r="187" spans="1:12" x14ac:dyDescent="0.2">
      <c r="A187" s="17" t="s">
        <v>194</v>
      </c>
      <c r="B187" s="27">
        <v>35295</v>
      </c>
      <c r="C187" s="27">
        <v>64341</v>
      </c>
      <c r="D187" s="27">
        <v>87032</v>
      </c>
      <c r="E187" s="27">
        <v>115680</v>
      </c>
      <c r="F187" s="27">
        <v>114483</v>
      </c>
      <c r="G187" s="27">
        <v>108047</v>
      </c>
      <c r="H187" s="27">
        <v>122278</v>
      </c>
      <c r="I187" s="27">
        <v>136522</v>
      </c>
      <c r="J187" s="27">
        <v>132480</v>
      </c>
      <c r="K187" s="27">
        <v>123930</v>
      </c>
      <c r="L187" s="27">
        <v>108040</v>
      </c>
    </row>
    <row r="188" spans="1:12" x14ac:dyDescent="0.2">
      <c r="A188" s="17" t="s">
        <v>195</v>
      </c>
      <c r="B188" s="27">
        <v>-120025</v>
      </c>
      <c r="C188" s="27">
        <v>-141719</v>
      </c>
      <c r="D188" s="27">
        <v>-150553</v>
      </c>
      <c r="E188" s="27">
        <v>-153215</v>
      </c>
      <c r="F188" s="27">
        <v>-122617</v>
      </c>
      <c r="G188" s="27">
        <v>-97851</v>
      </c>
      <c r="H188" s="27">
        <v>-69552</v>
      </c>
      <c r="I188" s="27">
        <v>-53994</v>
      </c>
      <c r="J188" s="27">
        <v>-36629</v>
      </c>
      <c r="K188" s="27">
        <v>-38169</v>
      </c>
      <c r="L188" s="27">
        <v>-64535</v>
      </c>
    </row>
    <row r="189" spans="1:12" x14ac:dyDescent="0.2">
      <c r="A189" s="17" t="s">
        <v>196</v>
      </c>
      <c r="B189" s="27">
        <v>5736</v>
      </c>
      <c r="C189" s="27">
        <v>6352</v>
      </c>
      <c r="D189" s="27">
        <v>7512</v>
      </c>
      <c r="E189" s="27">
        <v>8800</v>
      </c>
      <c r="F189" s="27">
        <v>9600</v>
      </c>
      <c r="G189" s="27">
        <v>10400</v>
      </c>
      <c r="H189" s="27">
        <v>86400</v>
      </c>
      <c r="I189" s="27">
        <v>116800</v>
      </c>
      <c r="J189" s="27">
        <v>134400</v>
      </c>
      <c r="K189" s="27">
        <v>127200</v>
      </c>
      <c r="L189" s="27" t="s">
        <v>6</v>
      </c>
    </row>
    <row r="190" spans="1:12" x14ac:dyDescent="0.2">
      <c r="A190" s="17" t="s">
        <v>197</v>
      </c>
      <c r="B190" s="36" t="s">
        <v>198</v>
      </c>
      <c r="C190" s="36" t="s">
        <v>198</v>
      </c>
      <c r="D190" s="36" t="s">
        <v>198</v>
      </c>
      <c r="E190" s="36" t="s">
        <v>198</v>
      </c>
      <c r="F190" s="36" t="s">
        <v>198</v>
      </c>
      <c r="G190" s="36" t="s">
        <v>198</v>
      </c>
      <c r="H190" s="36" t="s">
        <v>198</v>
      </c>
      <c r="I190" s="36" t="s">
        <v>198</v>
      </c>
      <c r="J190" s="36" t="s">
        <v>198</v>
      </c>
      <c r="K190" s="36" t="s">
        <v>198</v>
      </c>
      <c r="L190" s="36" t="s">
        <v>6</v>
      </c>
    </row>
    <row r="191" spans="1:12" x14ac:dyDescent="0.2">
      <c r="A191" s="17" t="s">
        <v>199</v>
      </c>
      <c r="B191" s="27">
        <v>4863</v>
      </c>
      <c r="C191" s="27">
        <v>6956</v>
      </c>
      <c r="D191" s="27">
        <v>10185</v>
      </c>
      <c r="E191" s="27">
        <v>13587</v>
      </c>
      <c r="F191" s="27">
        <v>16216</v>
      </c>
      <c r="G191" s="27">
        <v>17085</v>
      </c>
      <c r="H191" s="27">
        <v>17952</v>
      </c>
      <c r="I191" s="27">
        <v>20041</v>
      </c>
      <c r="J191" s="27">
        <v>22126</v>
      </c>
      <c r="K191" s="27">
        <v>23446</v>
      </c>
      <c r="L191" s="27" t="s">
        <v>6</v>
      </c>
    </row>
    <row r="192" spans="1:12" x14ac:dyDescent="0.2">
      <c r="A192" s="17" t="s">
        <v>200</v>
      </c>
      <c r="B192" s="27">
        <v>29639</v>
      </c>
      <c r="C192" s="27">
        <v>37038</v>
      </c>
      <c r="D192" s="27">
        <v>44543</v>
      </c>
      <c r="E192" s="27">
        <v>54210</v>
      </c>
      <c r="F192" s="27">
        <v>65982</v>
      </c>
      <c r="G192" s="27">
        <v>69797</v>
      </c>
      <c r="H192" s="27">
        <v>75291</v>
      </c>
      <c r="I192" s="27">
        <v>78659</v>
      </c>
      <c r="J192" s="27">
        <v>81060</v>
      </c>
      <c r="K192" s="27">
        <v>78314</v>
      </c>
      <c r="L192" s="27" t="s">
        <v>6</v>
      </c>
    </row>
    <row r="193" spans="1:12" x14ac:dyDescent="0.2">
      <c r="A193" s="17" t="s">
        <v>201</v>
      </c>
      <c r="B193" s="27">
        <v>4513</v>
      </c>
      <c r="C193" s="27">
        <v>5263</v>
      </c>
      <c r="D193" s="27">
        <v>6517</v>
      </c>
      <c r="E193" s="27">
        <v>7279</v>
      </c>
      <c r="F193" s="27">
        <v>8205</v>
      </c>
      <c r="G193" s="27">
        <v>9075</v>
      </c>
      <c r="H193" s="27">
        <v>10283</v>
      </c>
      <c r="I193" s="27">
        <v>11023</v>
      </c>
      <c r="J193" s="27">
        <v>11271</v>
      </c>
      <c r="K193" s="27">
        <v>12839</v>
      </c>
      <c r="L193" s="27" t="s">
        <v>43</v>
      </c>
    </row>
    <row r="194" spans="1:12" x14ac:dyDescent="0.2">
      <c r="A194" s="17" t="s">
        <v>202</v>
      </c>
      <c r="B194" s="43">
        <v>92600</v>
      </c>
      <c r="C194" s="43">
        <v>110000</v>
      </c>
      <c r="D194" s="43">
        <v>116000</v>
      </c>
      <c r="E194" s="43">
        <v>123000</v>
      </c>
      <c r="F194" s="43">
        <v>132000</v>
      </c>
      <c r="G194" s="43">
        <v>137000</v>
      </c>
      <c r="H194" s="43">
        <v>147000</v>
      </c>
      <c r="I194" s="43">
        <v>154000</v>
      </c>
      <c r="J194" s="43">
        <v>164000</v>
      </c>
      <c r="K194" s="43">
        <v>161000</v>
      </c>
      <c r="L194" s="43" t="s">
        <v>6</v>
      </c>
    </row>
    <row r="195" spans="1:12" x14ac:dyDescent="0.2">
      <c r="A195" s="17" t="s">
        <v>276</v>
      </c>
      <c r="B195" s="27">
        <v>86</v>
      </c>
      <c r="C195" s="27">
        <v>63</v>
      </c>
      <c r="D195" s="27">
        <v>53</v>
      </c>
      <c r="E195" s="27" t="s">
        <v>6</v>
      </c>
      <c r="F195" s="27" t="s">
        <v>6</v>
      </c>
      <c r="G195" s="35">
        <v>44498</v>
      </c>
      <c r="H195" s="35">
        <v>44862</v>
      </c>
      <c r="I195" s="35">
        <v>45233</v>
      </c>
      <c r="J195" s="35">
        <v>45233</v>
      </c>
      <c r="K195" s="35">
        <v>45233</v>
      </c>
      <c r="L195" s="35">
        <v>45324</v>
      </c>
    </row>
    <row r="196" spans="1:12" x14ac:dyDescent="0.2">
      <c r="A196" s="17" t="s">
        <v>97</v>
      </c>
      <c r="B196" s="35">
        <v>42669</v>
      </c>
      <c r="C196" s="35">
        <v>43042</v>
      </c>
      <c r="D196" s="35">
        <v>43409</v>
      </c>
      <c r="E196" s="35">
        <v>43769</v>
      </c>
      <c r="F196" s="35">
        <v>44134</v>
      </c>
      <c r="G196" s="36" t="s">
        <v>99</v>
      </c>
      <c r="H196" s="36" t="s">
        <v>99</v>
      </c>
      <c r="I196" s="36" t="s">
        <v>99</v>
      </c>
      <c r="J196" s="36" t="s">
        <v>99</v>
      </c>
      <c r="K196" s="36" t="s">
        <v>100</v>
      </c>
      <c r="L196" s="36" t="s">
        <v>100</v>
      </c>
    </row>
    <row r="197" spans="1:12" x14ac:dyDescent="0.2">
      <c r="A197" s="17" t="s">
        <v>98</v>
      </c>
      <c r="B197" s="36" t="s">
        <v>99</v>
      </c>
      <c r="C197" s="36" t="s">
        <v>269</v>
      </c>
      <c r="D197" s="36" t="s">
        <v>99</v>
      </c>
      <c r="E197" s="36" t="s">
        <v>99</v>
      </c>
      <c r="F197" s="36" t="s">
        <v>270</v>
      </c>
      <c r="G197" s="36" t="s">
        <v>203</v>
      </c>
      <c r="H197" s="36" t="s">
        <v>203</v>
      </c>
      <c r="I197" s="36" t="s">
        <v>203</v>
      </c>
      <c r="J197" s="36" t="s">
        <v>102</v>
      </c>
      <c r="K197" s="36" t="s">
        <v>102</v>
      </c>
      <c r="L197" s="36" t="s">
        <v>102</v>
      </c>
    </row>
    <row r="198" spans="1:12" x14ac:dyDescent="0.2">
      <c r="A198" s="17" t="s">
        <v>101</v>
      </c>
      <c r="B198" s="36" t="s">
        <v>203</v>
      </c>
      <c r="C198" s="36" t="s">
        <v>203</v>
      </c>
      <c r="D198" s="36" t="s">
        <v>203</v>
      </c>
      <c r="E198" s="36" t="s">
        <v>203</v>
      </c>
      <c r="F198" s="36" t="s">
        <v>203</v>
      </c>
    </row>
    <row r="199" spans="1:12" x14ac:dyDescent="0.2">
      <c r="A199" s="14" t="s">
        <v>204</v>
      </c>
    </row>
    <row r="200" spans="1:12" x14ac:dyDescent="0.2">
      <c r="A200" s="39" t="s">
        <v>113</v>
      </c>
    </row>
    <row r="202" spans="1:12" ht="17" x14ac:dyDescent="0.35">
      <c r="B202" s="13"/>
      <c r="C202" s="13"/>
      <c r="D202" s="13"/>
      <c r="E202" s="13"/>
      <c r="F202" s="13"/>
    </row>
    <row r="204" spans="1:12" ht="10.5" x14ac:dyDescent="0.25">
      <c r="B204" s="15"/>
      <c r="C204" s="15"/>
      <c r="D204" s="15"/>
      <c r="E204" s="15"/>
      <c r="F204" s="15"/>
      <c r="G204" s="16" t="s">
        <v>12</v>
      </c>
      <c r="H204" s="14" t="s">
        <v>13</v>
      </c>
      <c r="I204" s="17" t="s">
        <v>14</v>
      </c>
      <c r="J204" s="16" t="s">
        <v>15</v>
      </c>
      <c r="K204" s="14" t="s">
        <v>16</v>
      </c>
    </row>
    <row r="205" spans="1:12" ht="17" x14ac:dyDescent="0.35">
      <c r="A205" s="13" t="s">
        <v>114</v>
      </c>
      <c r="B205" s="17"/>
      <c r="C205" s="17"/>
      <c r="D205" s="17"/>
      <c r="E205" s="17"/>
      <c r="F205" s="17"/>
      <c r="G205" s="16" t="s">
        <v>17</v>
      </c>
      <c r="H205" s="14" t="s">
        <v>18</v>
      </c>
      <c r="I205" s="17" t="s">
        <v>14</v>
      </c>
      <c r="J205" s="16" t="s">
        <v>19</v>
      </c>
      <c r="K205" s="14" t="s">
        <v>20</v>
      </c>
    </row>
    <row r="206" spans="1:12" ht="10.5" x14ac:dyDescent="0.25">
      <c r="B206" s="17"/>
      <c r="C206" s="17"/>
      <c r="D206" s="17"/>
      <c r="E206" s="17"/>
      <c r="F206" s="17"/>
      <c r="G206" s="16" t="s">
        <v>21</v>
      </c>
      <c r="H206" s="14" t="s">
        <v>22</v>
      </c>
      <c r="I206" s="17" t="s">
        <v>14</v>
      </c>
      <c r="J206" s="16" t="s">
        <v>23</v>
      </c>
      <c r="K206" s="14" t="s">
        <v>24</v>
      </c>
    </row>
    <row r="207" spans="1:12" ht="30.5" x14ac:dyDescent="0.25">
      <c r="A207" s="15" t="s">
        <v>11</v>
      </c>
      <c r="B207" s="17"/>
      <c r="C207" s="17"/>
      <c r="D207" s="17"/>
      <c r="E207" s="17"/>
      <c r="F207" s="17"/>
      <c r="G207" s="16" t="s">
        <v>25</v>
      </c>
      <c r="H207" s="14" t="s">
        <v>26</v>
      </c>
      <c r="I207" s="17" t="s">
        <v>14</v>
      </c>
      <c r="J207" s="16" t="s">
        <v>27</v>
      </c>
      <c r="K207" s="18" t="s">
        <v>28</v>
      </c>
    </row>
    <row r="208" spans="1:12" ht="10.5" x14ac:dyDescent="0.25">
      <c r="A208" s="17"/>
      <c r="B208" s="17"/>
      <c r="C208" s="17"/>
      <c r="D208" s="17"/>
      <c r="E208" s="17"/>
      <c r="F208" s="17"/>
      <c r="G208" s="16" t="s">
        <v>29</v>
      </c>
      <c r="H208" s="14" t="s">
        <v>30</v>
      </c>
      <c r="I208" s="17" t="s">
        <v>14</v>
      </c>
      <c r="J208" s="19"/>
      <c r="K208" s="19"/>
    </row>
    <row r="209" spans="1:12" x14ac:dyDescent="0.2">
      <c r="A209" s="17"/>
    </row>
    <row r="210" spans="1:12" x14ac:dyDescent="0.2">
      <c r="A210" s="17"/>
    </row>
    <row r="211" spans="1:12" x14ac:dyDescent="0.2">
      <c r="A211" s="20" t="s">
        <v>115</v>
      </c>
      <c r="B211" s="20"/>
      <c r="C211" s="20"/>
      <c r="D211" s="20"/>
      <c r="E211" s="20"/>
      <c r="F211" s="20"/>
      <c r="G211" s="20"/>
      <c r="H211" s="20"/>
      <c r="I211" s="20"/>
      <c r="J211" s="20"/>
      <c r="K211" s="20"/>
      <c r="L211" s="20"/>
    </row>
    <row r="212" spans="1:12" ht="31.5" x14ac:dyDescent="0.25">
      <c r="A212" s="22" t="s">
        <v>32</v>
      </c>
      <c r="B212" s="23" t="s">
        <v>264</v>
      </c>
      <c r="C212" s="23" t="s">
        <v>265</v>
      </c>
      <c r="D212" s="23" t="s">
        <v>277</v>
      </c>
      <c r="E212" s="23" t="s">
        <v>278</v>
      </c>
      <c r="F212" s="23" t="s">
        <v>260</v>
      </c>
      <c r="G212" s="23" t="s">
        <v>33</v>
      </c>
      <c r="H212" s="23" t="s">
        <v>34</v>
      </c>
      <c r="I212" s="23" t="s">
        <v>35</v>
      </c>
      <c r="J212" s="23" t="s">
        <v>36</v>
      </c>
      <c r="K212" s="23" t="s">
        <v>37</v>
      </c>
      <c r="L212" s="23" t="s">
        <v>38</v>
      </c>
    </row>
    <row r="213" spans="1:12" x14ac:dyDescent="0.2">
      <c r="A213" s="24" t="s">
        <v>39</v>
      </c>
      <c r="B213" s="25" t="s">
        <v>40</v>
      </c>
      <c r="C213" s="25" t="s">
        <v>40</v>
      </c>
      <c r="D213" s="25" t="s">
        <v>40</v>
      </c>
      <c r="E213" s="25" t="s">
        <v>40</v>
      </c>
      <c r="F213" s="25" t="s">
        <v>40</v>
      </c>
      <c r="G213" s="25" t="s">
        <v>40</v>
      </c>
      <c r="H213" s="25" t="s">
        <v>40</v>
      </c>
      <c r="I213" s="25" t="s">
        <v>40</v>
      </c>
      <c r="J213" s="25" t="s">
        <v>40</v>
      </c>
      <c r="K213" s="25" t="s">
        <v>40</v>
      </c>
      <c r="L213" s="25" t="s">
        <v>40</v>
      </c>
    </row>
    <row r="214" spans="1:12" ht="10.5" x14ac:dyDescent="0.2">
      <c r="A214" s="26" t="s">
        <v>41</v>
      </c>
      <c r="B214" s="17"/>
      <c r="C214" s="17"/>
      <c r="D214" s="17"/>
      <c r="E214" s="17"/>
      <c r="F214" s="17"/>
      <c r="G214" s="17"/>
      <c r="H214" s="17"/>
      <c r="I214" s="17"/>
      <c r="J214" s="17"/>
      <c r="K214" s="17"/>
      <c r="L214" s="17"/>
    </row>
    <row r="215" spans="1:12" ht="10.5" x14ac:dyDescent="0.2">
      <c r="A215" s="26" t="s">
        <v>5</v>
      </c>
      <c r="B215" s="29">
        <v>39510</v>
      </c>
      <c r="C215" s="29">
        <v>53394</v>
      </c>
      <c r="D215" s="29">
        <v>45687</v>
      </c>
      <c r="E215" s="29">
        <v>48351</v>
      </c>
      <c r="F215" s="29">
        <v>59531</v>
      </c>
      <c r="G215" s="29">
        <v>55256</v>
      </c>
      <c r="H215" s="29">
        <v>57411</v>
      </c>
      <c r="I215" s="29">
        <v>94680</v>
      </c>
      <c r="J215" s="29">
        <v>99803</v>
      </c>
      <c r="K215" s="29">
        <v>96995</v>
      </c>
      <c r="L215" s="29">
        <v>100913</v>
      </c>
    </row>
    <row r="216" spans="1:12" x14ac:dyDescent="0.2">
      <c r="A216" s="17" t="s">
        <v>49</v>
      </c>
      <c r="B216" s="27">
        <v>6846</v>
      </c>
      <c r="C216" s="27">
        <v>9957</v>
      </c>
      <c r="D216" s="27">
        <v>10505</v>
      </c>
      <c r="E216" s="27">
        <v>10157</v>
      </c>
      <c r="F216" s="27">
        <v>10903</v>
      </c>
      <c r="G216" s="27">
        <v>12547</v>
      </c>
      <c r="H216" s="27">
        <v>11056</v>
      </c>
      <c r="I216" s="27">
        <v>11284</v>
      </c>
      <c r="J216" s="27">
        <v>11104</v>
      </c>
      <c r="K216" s="27">
        <v>11519</v>
      </c>
      <c r="L216" s="27">
        <v>11451</v>
      </c>
    </row>
    <row r="217" spans="1:12" x14ac:dyDescent="0.2">
      <c r="A217" s="17" t="s">
        <v>279</v>
      </c>
      <c r="B217" s="27">
        <v>1100</v>
      </c>
      <c r="C217" s="27">
        <v>1300</v>
      </c>
      <c r="D217" s="27" t="s">
        <v>43</v>
      </c>
      <c r="E217" s="27" t="s">
        <v>43</v>
      </c>
      <c r="F217" s="27" t="s">
        <v>43</v>
      </c>
      <c r="G217" s="27" t="s">
        <v>43</v>
      </c>
      <c r="H217" s="27" t="s">
        <v>43</v>
      </c>
      <c r="I217" s="27" t="s">
        <v>43</v>
      </c>
      <c r="J217" s="27" t="s">
        <v>43</v>
      </c>
      <c r="K217" s="27" t="s">
        <v>43</v>
      </c>
      <c r="L217" s="27" t="s">
        <v>43</v>
      </c>
    </row>
    <row r="218" spans="1:12" ht="10.5" x14ac:dyDescent="0.2">
      <c r="A218" s="26" t="s">
        <v>116</v>
      </c>
      <c r="B218" s="64">
        <v>7946</v>
      </c>
      <c r="C218" s="64">
        <v>11257</v>
      </c>
      <c r="D218" s="64">
        <v>10505</v>
      </c>
      <c r="E218" s="64">
        <v>10157</v>
      </c>
      <c r="F218" s="64">
        <v>10903</v>
      </c>
      <c r="G218" s="64">
        <v>12547</v>
      </c>
      <c r="H218" s="64">
        <v>11056</v>
      </c>
      <c r="I218" s="64">
        <v>11284</v>
      </c>
      <c r="J218" s="64">
        <v>11104</v>
      </c>
      <c r="K218" s="64">
        <v>11519</v>
      </c>
      <c r="L218" s="64">
        <v>11451</v>
      </c>
    </row>
    <row r="219" spans="1:12" x14ac:dyDescent="0.2">
      <c r="A219" s="17"/>
      <c r="B219" s="17"/>
      <c r="C219" s="17"/>
      <c r="D219" s="17"/>
      <c r="E219" s="17"/>
      <c r="F219" s="17"/>
      <c r="G219" s="17"/>
      <c r="H219" s="17"/>
      <c r="I219" s="17"/>
      <c r="J219" s="17"/>
      <c r="K219" s="17"/>
      <c r="L219" s="17"/>
    </row>
    <row r="220" spans="1:12" x14ac:dyDescent="0.2">
      <c r="A220" s="17" t="s">
        <v>117</v>
      </c>
      <c r="B220" s="27">
        <v>2863</v>
      </c>
      <c r="C220" s="27">
        <v>3586</v>
      </c>
      <c r="D220" s="27">
        <v>4210</v>
      </c>
      <c r="E220" s="27">
        <v>4840</v>
      </c>
      <c r="F220" s="27">
        <v>5340</v>
      </c>
      <c r="G220" s="27">
        <v>6068</v>
      </c>
      <c r="H220" s="27">
        <v>6829</v>
      </c>
      <c r="I220" s="27">
        <v>7906</v>
      </c>
      <c r="J220" s="27">
        <v>9038</v>
      </c>
      <c r="K220" s="27">
        <v>10833</v>
      </c>
      <c r="L220" s="27">
        <v>10925</v>
      </c>
    </row>
    <row r="221" spans="1:12" x14ac:dyDescent="0.2">
      <c r="A221" s="17" t="s">
        <v>118</v>
      </c>
      <c r="B221" s="27">
        <v>2347</v>
      </c>
      <c r="C221" s="27">
        <v>1767</v>
      </c>
      <c r="D221" s="27">
        <v>5424</v>
      </c>
      <c r="E221" s="27">
        <v>5800</v>
      </c>
      <c r="F221" s="27">
        <v>-33034</v>
      </c>
      <c r="G221" s="27">
        <v>-992</v>
      </c>
      <c r="H221" s="27">
        <v>-312</v>
      </c>
      <c r="I221" s="27">
        <v>-4921</v>
      </c>
      <c r="J221" s="27">
        <v>1006</v>
      </c>
      <c r="K221" s="27">
        <v>-2227</v>
      </c>
      <c r="L221" s="27">
        <v>-2899</v>
      </c>
    </row>
    <row r="222" spans="1:12" x14ac:dyDescent="0.2">
      <c r="A222" s="17" t="s">
        <v>119</v>
      </c>
      <c r="B222" s="27">
        <v>-4232</v>
      </c>
      <c r="C222" s="27">
        <v>417</v>
      </c>
      <c r="D222" s="27">
        <v>527</v>
      </c>
      <c r="E222" s="27">
        <v>-2093</v>
      </c>
      <c r="F222" s="27">
        <v>-5322</v>
      </c>
      <c r="G222" s="27">
        <v>245</v>
      </c>
      <c r="H222" s="27">
        <v>6917</v>
      </c>
      <c r="I222" s="27">
        <v>-10125</v>
      </c>
      <c r="J222" s="27">
        <v>-1823</v>
      </c>
      <c r="K222" s="27">
        <v>-1688</v>
      </c>
      <c r="L222" s="27">
        <v>592</v>
      </c>
    </row>
    <row r="223" spans="1:12" x14ac:dyDescent="0.2">
      <c r="A223" s="17" t="s">
        <v>120</v>
      </c>
      <c r="B223" s="27">
        <v>-76</v>
      </c>
      <c r="C223" s="27">
        <v>-238</v>
      </c>
      <c r="D223" s="27">
        <v>217</v>
      </c>
      <c r="E223" s="27">
        <v>-2723</v>
      </c>
      <c r="F223" s="27">
        <v>828</v>
      </c>
      <c r="G223" s="27">
        <v>-289</v>
      </c>
      <c r="H223" s="27">
        <v>-127</v>
      </c>
      <c r="I223" s="27">
        <v>-2642</v>
      </c>
      <c r="J223" s="27">
        <v>1484</v>
      </c>
      <c r="K223" s="27">
        <v>-1618</v>
      </c>
      <c r="L223" s="27">
        <v>52</v>
      </c>
    </row>
    <row r="224" spans="1:12" x14ac:dyDescent="0.2">
      <c r="A224" s="17" t="s">
        <v>121</v>
      </c>
      <c r="B224" s="27">
        <v>5938</v>
      </c>
      <c r="C224" s="27">
        <v>5001</v>
      </c>
      <c r="D224" s="27">
        <v>2117</v>
      </c>
      <c r="E224" s="27">
        <v>8966</v>
      </c>
      <c r="F224" s="27">
        <v>9175</v>
      </c>
      <c r="G224" s="27">
        <v>-1923</v>
      </c>
      <c r="H224" s="27">
        <v>-4062</v>
      </c>
      <c r="I224" s="27">
        <v>12326</v>
      </c>
      <c r="J224" s="27">
        <v>9448</v>
      </c>
      <c r="K224" s="27">
        <v>-1889</v>
      </c>
      <c r="L224" s="27">
        <v>-356</v>
      </c>
    </row>
    <row r="225" spans="1:12" x14ac:dyDescent="0.2">
      <c r="A225" s="17" t="s">
        <v>122</v>
      </c>
      <c r="B225" s="27">
        <v>1460</v>
      </c>
      <c r="C225" s="27">
        <v>1042</v>
      </c>
      <c r="D225" s="27">
        <v>-1554</v>
      </c>
      <c r="E225" s="27">
        <v>-593</v>
      </c>
      <c r="F225" s="27">
        <v>-3</v>
      </c>
      <c r="G225" s="27">
        <v>-625</v>
      </c>
      <c r="H225" s="27">
        <v>2081</v>
      </c>
      <c r="I225" s="27" t="s">
        <v>43</v>
      </c>
      <c r="J225" s="27" t="s">
        <v>43</v>
      </c>
      <c r="K225" s="27" t="s">
        <v>43</v>
      </c>
      <c r="L225" s="27" t="s">
        <v>43</v>
      </c>
    </row>
    <row r="226" spans="1:12" x14ac:dyDescent="0.2">
      <c r="A226" s="17" t="s">
        <v>123</v>
      </c>
      <c r="B226" s="27">
        <v>3957</v>
      </c>
      <c r="C226" s="27">
        <v>5040</v>
      </c>
      <c r="D226" s="27">
        <v>-902</v>
      </c>
      <c r="E226" s="27">
        <v>-8480</v>
      </c>
      <c r="F226" s="27">
        <v>30016</v>
      </c>
      <c r="G226" s="27">
        <v>-896</v>
      </c>
      <c r="H226" s="27">
        <v>881</v>
      </c>
      <c r="I226" s="27">
        <v>-4470</v>
      </c>
      <c r="J226" s="27">
        <v>-7909</v>
      </c>
      <c r="K226" s="27">
        <v>-1382</v>
      </c>
      <c r="L226" s="27">
        <v>-4245</v>
      </c>
    </row>
    <row r="227" spans="1:12" ht="10.5" x14ac:dyDescent="0.2">
      <c r="A227" s="26" t="s">
        <v>124</v>
      </c>
      <c r="B227" s="64">
        <v>59713</v>
      </c>
      <c r="C227" s="64">
        <v>81266</v>
      </c>
      <c r="D227" s="64">
        <v>66231</v>
      </c>
      <c r="E227" s="64">
        <v>64225</v>
      </c>
      <c r="F227" s="64">
        <v>77434</v>
      </c>
      <c r="G227" s="64">
        <v>69391</v>
      </c>
      <c r="H227" s="64">
        <v>80674</v>
      </c>
      <c r="I227" s="64">
        <v>104038</v>
      </c>
      <c r="J227" s="64">
        <v>122151</v>
      </c>
      <c r="K227" s="64">
        <v>110543</v>
      </c>
      <c r="L227" s="64">
        <v>116433</v>
      </c>
    </row>
    <row r="228" spans="1:12" x14ac:dyDescent="0.2">
      <c r="A228" s="17"/>
      <c r="B228" s="17"/>
      <c r="C228" s="17"/>
      <c r="D228" s="17"/>
      <c r="E228" s="17"/>
      <c r="F228" s="17"/>
      <c r="G228" s="17"/>
      <c r="H228" s="17"/>
      <c r="I228" s="17"/>
      <c r="J228" s="17"/>
      <c r="K228" s="17"/>
      <c r="L228" s="17"/>
    </row>
    <row r="229" spans="1:12" x14ac:dyDescent="0.2">
      <c r="A229" s="17" t="s">
        <v>125</v>
      </c>
      <c r="B229" s="27">
        <v>-9571</v>
      </c>
      <c r="C229" s="27">
        <v>-11247</v>
      </c>
      <c r="D229" s="27">
        <v>-12734</v>
      </c>
      <c r="E229" s="27">
        <v>-12451</v>
      </c>
      <c r="F229" s="27">
        <v>-13313</v>
      </c>
      <c r="G229" s="27">
        <v>-10495</v>
      </c>
      <c r="H229" s="27">
        <v>-7309</v>
      </c>
      <c r="I229" s="27">
        <v>-11085</v>
      </c>
      <c r="J229" s="27">
        <v>-10708</v>
      </c>
      <c r="K229" s="27">
        <v>-10959</v>
      </c>
      <c r="L229" s="27">
        <v>-9564</v>
      </c>
    </row>
    <row r="230" spans="1:12" x14ac:dyDescent="0.2">
      <c r="A230" s="17" t="s">
        <v>126</v>
      </c>
      <c r="B230" s="27">
        <v>-3765</v>
      </c>
      <c r="C230" s="27">
        <v>-343</v>
      </c>
      <c r="D230" s="27">
        <v>-297</v>
      </c>
      <c r="E230" s="27">
        <v>-329</v>
      </c>
      <c r="F230" s="27">
        <v>-721</v>
      </c>
      <c r="G230" s="27">
        <v>-624</v>
      </c>
      <c r="H230" s="27">
        <v>-1524</v>
      </c>
      <c r="I230" s="27" t="s">
        <v>43</v>
      </c>
      <c r="J230" s="27" t="s">
        <v>43</v>
      </c>
      <c r="K230" s="27" t="s">
        <v>43</v>
      </c>
      <c r="L230" s="27" t="s">
        <v>43</v>
      </c>
    </row>
    <row r="231" spans="1:12" x14ac:dyDescent="0.2">
      <c r="A231" s="17" t="s">
        <v>127</v>
      </c>
      <c r="B231" s="27" t="s">
        <v>43</v>
      </c>
      <c r="C231" s="27" t="s">
        <v>43</v>
      </c>
      <c r="D231" s="27" t="s">
        <v>43</v>
      </c>
      <c r="E231" s="27" t="s">
        <v>43</v>
      </c>
      <c r="F231" s="27" t="s">
        <v>43</v>
      </c>
      <c r="G231" s="27" t="s">
        <v>43</v>
      </c>
      <c r="H231" s="27" t="s">
        <v>43</v>
      </c>
      <c r="I231" s="27" t="s">
        <v>43</v>
      </c>
      <c r="J231" s="27" t="s">
        <v>43</v>
      </c>
      <c r="K231" s="27" t="s">
        <v>43</v>
      </c>
      <c r="L231" s="27" t="s">
        <v>43</v>
      </c>
    </row>
    <row r="232" spans="1:12" x14ac:dyDescent="0.2">
      <c r="A232" s="17" t="s">
        <v>280</v>
      </c>
      <c r="B232" s="27">
        <v>-242</v>
      </c>
      <c r="C232" s="27">
        <v>-241</v>
      </c>
      <c r="D232" s="27" t="s">
        <v>43</v>
      </c>
      <c r="E232" s="27" t="s">
        <v>43</v>
      </c>
      <c r="F232" s="27" t="s">
        <v>43</v>
      </c>
      <c r="G232" s="27" t="s">
        <v>43</v>
      </c>
      <c r="H232" s="27" t="s">
        <v>43</v>
      </c>
      <c r="I232" s="27" t="s">
        <v>43</v>
      </c>
      <c r="J232" s="27" t="s">
        <v>43</v>
      </c>
      <c r="K232" s="27" t="s">
        <v>43</v>
      </c>
      <c r="L232" s="27" t="s">
        <v>43</v>
      </c>
    </row>
    <row r="233" spans="1:12" x14ac:dyDescent="0.2">
      <c r="A233" s="17" t="s">
        <v>128</v>
      </c>
      <c r="B233" s="27">
        <v>-9027</v>
      </c>
      <c r="C233" s="27">
        <v>-44417</v>
      </c>
      <c r="D233" s="27">
        <v>-32022</v>
      </c>
      <c r="E233" s="27">
        <v>-33542</v>
      </c>
      <c r="F233" s="27">
        <v>30845</v>
      </c>
      <c r="G233" s="27">
        <v>58093</v>
      </c>
      <c r="H233" s="27">
        <v>5453</v>
      </c>
      <c r="I233" s="27">
        <v>-3075</v>
      </c>
      <c r="J233" s="27">
        <v>-9560</v>
      </c>
      <c r="K233" s="27">
        <v>16001</v>
      </c>
      <c r="L233" s="27">
        <v>18121</v>
      </c>
    </row>
    <row r="234" spans="1:12" x14ac:dyDescent="0.2">
      <c r="A234" s="17" t="s">
        <v>129</v>
      </c>
      <c r="B234" s="27" t="s">
        <v>43</v>
      </c>
      <c r="C234" s="27" t="s">
        <v>43</v>
      </c>
      <c r="D234" s="27" t="s">
        <v>43</v>
      </c>
      <c r="E234" s="27" t="s">
        <v>43</v>
      </c>
      <c r="F234" s="27" t="s">
        <v>43</v>
      </c>
      <c r="G234" s="27" t="s">
        <v>43</v>
      </c>
      <c r="H234" s="27" t="s">
        <v>43</v>
      </c>
      <c r="I234" s="27" t="s">
        <v>43</v>
      </c>
      <c r="J234" s="27" t="s">
        <v>43</v>
      </c>
      <c r="K234" s="27" t="s">
        <v>43</v>
      </c>
      <c r="L234" s="27" t="s">
        <v>43</v>
      </c>
    </row>
    <row r="235" spans="1:12" x14ac:dyDescent="0.2">
      <c r="A235" s="17" t="s">
        <v>130</v>
      </c>
      <c r="B235" s="27">
        <v>26</v>
      </c>
      <c r="C235" s="27">
        <v>-26</v>
      </c>
      <c r="D235" s="27">
        <v>-924</v>
      </c>
      <c r="E235" s="27">
        <v>-124</v>
      </c>
      <c r="F235" s="27">
        <v>-745</v>
      </c>
      <c r="G235" s="27">
        <v>-1078</v>
      </c>
      <c r="H235" s="27">
        <v>-909</v>
      </c>
      <c r="I235" s="27">
        <v>-385</v>
      </c>
      <c r="J235" s="27">
        <v>-2086</v>
      </c>
      <c r="K235" s="27">
        <v>-1337</v>
      </c>
      <c r="L235" s="27">
        <v>-1480</v>
      </c>
    </row>
    <row r="236" spans="1:12" ht="10.5" x14ac:dyDescent="0.2">
      <c r="A236" s="26" t="s">
        <v>131</v>
      </c>
      <c r="B236" s="64">
        <v>-22579</v>
      </c>
      <c r="C236" s="64">
        <v>-56274</v>
      </c>
      <c r="D236" s="64">
        <v>-45977</v>
      </c>
      <c r="E236" s="64">
        <v>-46446</v>
      </c>
      <c r="F236" s="64">
        <v>16066</v>
      </c>
      <c r="G236" s="64">
        <v>45896</v>
      </c>
      <c r="H236" s="64">
        <v>-4289</v>
      </c>
      <c r="I236" s="64">
        <v>-14545</v>
      </c>
      <c r="J236" s="64">
        <v>-22354</v>
      </c>
      <c r="K236" s="64">
        <v>3705</v>
      </c>
      <c r="L236" s="64">
        <v>7077</v>
      </c>
    </row>
    <row r="237" spans="1:12" x14ac:dyDescent="0.2">
      <c r="A237" s="17"/>
      <c r="B237" s="17"/>
      <c r="C237" s="17"/>
      <c r="D237" s="17"/>
      <c r="E237" s="17"/>
      <c r="F237" s="17"/>
      <c r="G237" s="17"/>
      <c r="H237" s="17"/>
      <c r="I237" s="17"/>
      <c r="J237" s="17"/>
      <c r="K237" s="17"/>
      <c r="L237" s="17"/>
    </row>
    <row r="238" spans="1:12" x14ac:dyDescent="0.2">
      <c r="A238" s="17" t="s">
        <v>132</v>
      </c>
      <c r="B238" s="27">
        <v>6306</v>
      </c>
      <c r="C238" s="27">
        <v>2191</v>
      </c>
      <c r="D238" s="27" t="s">
        <v>43</v>
      </c>
      <c r="E238" s="27">
        <v>3852</v>
      </c>
      <c r="F238" s="27" t="s">
        <v>43</v>
      </c>
      <c r="G238" s="27" t="s">
        <v>43</v>
      </c>
      <c r="H238" s="27" t="s">
        <v>43</v>
      </c>
      <c r="I238" s="27">
        <v>1022</v>
      </c>
      <c r="J238" s="27">
        <v>3955</v>
      </c>
      <c r="K238" s="27" t="s">
        <v>43</v>
      </c>
      <c r="L238" s="27" t="s">
        <v>43</v>
      </c>
    </row>
    <row r="239" spans="1:12" x14ac:dyDescent="0.2">
      <c r="A239" s="17" t="s">
        <v>133</v>
      </c>
      <c r="B239" s="27">
        <v>11960</v>
      </c>
      <c r="C239" s="27">
        <v>27114</v>
      </c>
      <c r="D239" s="27">
        <v>24954</v>
      </c>
      <c r="E239" s="27">
        <v>28662</v>
      </c>
      <c r="F239" s="27">
        <v>6969</v>
      </c>
      <c r="G239" s="27">
        <v>6963</v>
      </c>
      <c r="H239" s="27">
        <v>16091</v>
      </c>
      <c r="I239" s="27">
        <v>20393</v>
      </c>
      <c r="J239" s="27">
        <v>5465</v>
      </c>
      <c r="K239" s="27">
        <v>5228</v>
      </c>
      <c r="L239" s="27" t="s">
        <v>43</v>
      </c>
    </row>
    <row r="240" spans="1:12" x14ac:dyDescent="0.2">
      <c r="A240" s="17" t="s">
        <v>134</v>
      </c>
      <c r="B240" s="27" t="s">
        <v>43</v>
      </c>
      <c r="C240" s="27" t="s">
        <v>43</v>
      </c>
      <c r="D240" s="27">
        <v>-397</v>
      </c>
      <c r="E240" s="27" t="s">
        <v>43</v>
      </c>
      <c r="F240" s="27">
        <v>-37</v>
      </c>
      <c r="G240" s="27">
        <v>-5977</v>
      </c>
      <c r="H240" s="27">
        <v>-963</v>
      </c>
      <c r="I240" s="27" t="s">
        <v>43</v>
      </c>
      <c r="J240" s="27" t="s">
        <v>43</v>
      </c>
      <c r="K240" s="27">
        <v>-3978</v>
      </c>
      <c r="L240" s="27" t="s">
        <v>43</v>
      </c>
    </row>
    <row r="241" spans="1:12" x14ac:dyDescent="0.2">
      <c r="A241" s="17" t="s">
        <v>135</v>
      </c>
      <c r="B241" s="27" t="s">
        <v>43</v>
      </c>
      <c r="C241" s="27" t="s">
        <v>43</v>
      </c>
      <c r="D241" s="27">
        <v>-2500</v>
      </c>
      <c r="E241" s="27">
        <v>-3500</v>
      </c>
      <c r="F241" s="27">
        <v>-6500</v>
      </c>
      <c r="G241" s="27">
        <v>-8805</v>
      </c>
      <c r="H241" s="27">
        <v>-12629</v>
      </c>
      <c r="I241" s="27">
        <v>-8750</v>
      </c>
      <c r="J241" s="27">
        <v>-9543</v>
      </c>
      <c r="K241" s="27">
        <v>-11151</v>
      </c>
      <c r="L241" s="27" t="s">
        <v>43</v>
      </c>
    </row>
    <row r="242" spans="1:12" x14ac:dyDescent="0.2">
      <c r="A242" s="17" t="s">
        <v>136</v>
      </c>
      <c r="B242" s="27">
        <v>730</v>
      </c>
      <c r="C242" s="27">
        <v>543</v>
      </c>
      <c r="D242" s="27">
        <v>495</v>
      </c>
      <c r="E242" s="27">
        <v>555</v>
      </c>
      <c r="F242" s="27">
        <v>669</v>
      </c>
      <c r="G242" s="27">
        <v>781</v>
      </c>
      <c r="H242" s="27" t="s">
        <v>43</v>
      </c>
      <c r="I242" s="27" t="s">
        <v>43</v>
      </c>
      <c r="J242" s="27" t="s">
        <v>43</v>
      </c>
      <c r="K242" s="27" t="s">
        <v>43</v>
      </c>
      <c r="L242" s="27" t="s">
        <v>43</v>
      </c>
    </row>
    <row r="243" spans="1:12" x14ac:dyDescent="0.2">
      <c r="A243" s="17" t="s">
        <v>137</v>
      </c>
      <c r="B243" s="27">
        <v>-46158</v>
      </c>
      <c r="C243" s="27">
        <v>-36752</v>
      </c>
      <c r="D243" s="27">
        <v>-31292</v>
      </c>
      <c r="E243" s="27">
        <v>-34774</v>
      </c>
      <c r="F243" s="27">
        <v>-75265</v>
      </c>
      <c r="G243" s="27">
        <v>-69714</v>
      </c>
      <c r="H243" s="27">
        <v>-75992</v>
      </c>
      <c r="I243" s="27">
        <v>-92527</v>
      </c>
      <c r="J243" s="27">
        <v>-95625</v>
      </c>
      <c r="K243" s="27">
        <v>-82981</v>
      </c>
      <c r="L243" s="27">
        <v>-83920</v>
      </c>
    </row>
    <row r="244" spans="1:12" x14ac:dyDescent="0.2">
      <c r="A244" s="17" t="s">
        <v>138</v>
      </c>
      <c r="B244" s="27">
        <v>-11126</v>
      </c>
      <c r="C244" s="27">
        <v>-11561</v>
      </c>
      <c r="D244" s="27">
        <v>-12150</v>
      </c>
      <c r="E244" s="27">
        <v>-12769</v>
      </c>
      <c r="F244" s="27">
        <v>-13712</v>
      </c>
      <c r="G244" s="27">
        <v>-14119</v>
      </c>
      <c r="H244" s="27">
        <v>-14081</v>
      </c>
      <c r="I244" s="27">
        <v>-14467</v>
      </c>
      <c r="J244" s="27">
        <v>-14841</v>
      </c>
      <c r="K244" s="27">
        <v>-15025</v>
      </c>
      <c r="L244" s="27">
        <v>-15082</v>
      </c>
    </row>
    <row r="245" spans="1:12" x14ac:dyDescent="0.2">
      <c r="A245" s="17" t="s">
        <v>139</v>
      </c>
      <c r="B245" s="27" t="s">
        <v>43</v>
      </c>
      <c r="C245" s="27" t="s">
        <v>43</v>
      </c>
      <c r="D245" s="27" t="s">
        <v>43</v>
      </c>
      <c r="E245" s="27" t="s">
        <v>43</v>
      </c>
      <c r="F245" s="27" t="s">
        <v>43</v>
      </c>
      <c r="G245" s="27" t="s">
        <v>43</v>
      </c>
      <c r="H245" s="27" t="s">
        <v>43</v>
      </c>
      <c r="I245" s="27" t="s">
        <v>43</v>
      </c>
      <c r="J245" s="27" t="s">
        <v>43</v>
      </c>
      <c r="K245" s="27" t="s">
        <v>43</v>
      </c>
      <c r="L245" s="27" t="s">
        <v>43</v>
      </c>
    </row>
    <row r="246" spans="1:12" x14ac:dyDescent="0.2">
      <c r="A246" s="17" t="s">
        <v>140</v>
      </c>
      <c r="B246" s="27">
        <v>739</v>
      </c>
      <c r="C246" s="27">
        <v>749</v>
      </c>
      <c r="D246" s="27" t="s">
        <v>43</v>
      </c>
      <c r="E246" s="27" t="s">
        <v>43</v>
      </c>
      <c r="F246" s="27" t="s">
        <v>43</v>
      </c>
      <c r="G246" s="27">
        <v>-105</v>
      </c>
      <c r="H246" s="27">
        <v>754</v>
      </c>
      <c r="I246" s="27">
        <v>976</v>
      </c>
      <c r="J246" s="27">
        <v>-160</v>
      </c>
      <c r="K246" s="27">
        <v>-581</v>
      </c>
      <c r="L246" s="27">
        <v>-238</v>
      </c>
    </row>
    <row r="247" spans="1:12" ht="10.5" x14ac:dyDescent="0.2">
      <c r="A247" s="26" t="s">
        <v>141</v>
      </c>
      <c r="B247" s="64">
        <v>-37549</v>
      </c>
      <c r="C247" s="64">
        <v>-17716</v>
      </c>
      <c r="D247" s="64">
        <v>-20890</v>
      </c>
      <c r="E247" s="64">
        <v>-17974</v>
      </c>
      <c r="F247" s="64">
        <v>-87876</v>
      </c>
      <c r="G247" s="64">
        <v>-90976</v>
      </c>
      <c r="H247" s="64">
        <v>-86820</v>
      </c>
      <c r="I247" s="64">
        <v>-93353</v>
      </c>
      <c r="J247" s="64">
        <v>-110749</v>
      </c>
      <c r="K247" s="64">
        <v>-108488</v>
      </c>
      <c r="L247" s="64">
        <v>-103510</v>
      </c>
    </row>
    <row r="248" spans="1:12" x14ac:dyDescent="0.2">
      <c r="A248" s="17"/>
      <c r="B248" s="17"/>
      <c r="C248" s="17"/>
      <c r="D248" s="17"/>
      <c r="E248" s="17"/>
      <c r="F248" s="17"/>
      <c r="G248" s="17"/>
      <c r="H248" s="17"/>
      <c r="I248" s="17"/>
      <c r="J248" s="17"/>
      <c r="K248" s="17"/>
      <c r="L248" s="17"/>
    </row>
    <row r="249" spans="1:12" ht="10.5" x14ac:dyDescent="0.2">
      <c r="A249" s="26" t="s">
        <v>142</v>
      </c>
      <c r="B249" s="65">
        <v>-415</v>
      </c>
      <c r="C249" s="65">
        <v>7276</v>
      </c>
      <c r="D249" s="65">
        <v>-636</v>
      </c>
      <c r="E249" s="65">
        <v>-195</v>
      </c>
      <c r="F249" s="65">
        <v>5624</v>
      </c>
      <c r="G249" s="65">
        <v>24311</v>
      </c>
      <c r="H249" s="65">
        <v>-10435</v>
      </c>
      <c r="I249" s="65">
        <v>-3860</v>
      </c>
      <c r="J249" s="65">
        <v>-10952</v>
      </c>
      <c r="K249" s="65">
        <v>5760</v>
      </c>
      <c r="L249" s="65">
        <v>20000</v>
      </c>
    </row>
    <row r="250" spans="1:12" x14ac:dyDescent="0.2">
      <c r="A250" s="17"/>
      <c r="B250" s="17"/>
      <c r="C250" s="17"/>
      <c r="D250" s="17"/>
      <c r="E250" s="17"/>
      <c r="F250" s="17"/>
      <c r="G250" s="17"/>
      <c r="H250" s="17"/>
      <c r="I250" s="17"/>
      <c r="J250" s="17"/>
      <c r="K250" s="17"/>
      <c r="L250" s="17"/>
    </row>
    <row r="251" spans="1:12" ht="10.5" x14ac:dyDescent="0.2">
      <c r="A251" s="26" t="s">
        <v>83</v>
      </c>
      <c r="B251" s="17"/>
      <c r="C251" s="17"/>
      <c r="D251" s="17"/>
      <c r="E251" s="17"/>
      <c r="F251" s="17"/>
      <c r="G251" s="17"/>
      <c r="H251" s="17"/>
      <c r="I251" s="17"/>
      <c r="J251" s="17"/>
      <c r="K251" s="17"/>
      <c r="L251" s="17"/>
    </row>
    <row r="252" spans="1:12" x14ac:dyDescent="0.2">
      <c r="A252" s="17" t="s">
        <v>143</v>
      </c>
      <c r="B252" s="27">
        <v>339</v>
      </c>
      <c r="C252" s="27">
        <v>514</v>
      </c>
      <c r="D252" s="27">
        <v>1316</v>
      </c>
      <c r="E252" s="27">
        <v>2092</v>
      </c>
      <c r="F252" s="27">
        <v>3022</v>
      </c>
      <c r="G252" s="27">
        <v>3423</v>
      </c>
      <c r="H252" s="27">
        <v>3002</v>
      </c>
      <c r="I252" s="27">
        <v>2687</v>
      </c>
      <c r="J252" s="27">
        <v>2865</v>
      </c>
      <c r="K252" s="27">
        <v>3803</v>
      </c>
      <c r="L252" s="27">
        <v>3803</v>
      </c>
    </row>
    <row r="253" spans="1:12" x14ac:dyDescent="0.2">
      <c r="A253" s="17" t="s">
        <v>144</v>
      </c>
      <c r="B253" s="27">
        <v>10026</v>
      </c>
      <c r="C253" s="27">
        <v>13252</v>
      </c>
      <c r="D253" s="27">
        <v>10444</v>
      </c>
      <c r="E253" s="27">
        <v>11591</v>
      </c>
      <c r="F253" s="27">
        <v>10417</v>
      </c>
      <c r="G253" s="27">
        <v>15263</v>
      </c>
      <c r="H253" s="27">
        <v>9501</v>
      </c>
      <c r="I253" s="27">
        <v>25385</v>
      </c>
      <c r="J253" s="27">
        <v>19573</v>
      </c>
      <c r="K253" s="27">
        <v>18679</v>
      </c>
      <c r="L253" s="27">
        <v>25106</v>
      </c>
    </row>
    <row r="254" spans="1:12" x14ac:dyDescent="0.2">
      <c r="A254" s="17" t="s">
        <v>145</v>
      </c>
      <c r="B254" s="27">
        <v>36375.375</v>
      </c>
      <c r="C254" s="27">
        <v>55863.625</v>
      </c>
      <c r="D254" s="27">
        <v>44058</v>
      </c>
      <c r="E254" s="27">
        <v>39624.125</v>
      </c>
      <c r="F254" s="27">
        <v>47482.25</v>
      </c>
      <c r="G254" s="27">
        <v>42914.25</v>
      </c>
      <c r="H254" s="27">
        <v>60387.375</v>
      </c>
      <c r="I254" s="27">
        <v>73295</v>
      </c>
      <c r="J254" s="27">
        <v>90215.25</v>
      </c>
      <c r="K254" s="27">
        <v>82180</v>
      </c>
      <c r="L254" s="27">
        <v>86563.125</v>
      </c>
    </row>
    <row r="255" spans="1:12" x14ac:dyDescent="0.2">
      <c r="A255" s="17" t="s">
        <v>146</v>
      </c>
      <c r="B255" s="27">
        <v>36615.375</v>
      </c>
      <c r="C255" s="27">
        <v>56321.75</v>
      </c>
      <c r="D255" s="27">
        <v>44968</v>
      </c>
      <c r="E255" s="27">
        <v>41076</v>
      </c>
      <c r="F255" s="27">
        <v>49507.25</v>
      </c>
      <c r="G255" s="27">
        <v>45149.25</v>
      </c>
      <c r="H255" s="27">
        <v>62183</v>
      </c>
      <c r="I255" s="27">
        <v>74948.125</v>
      </c>
      <c r="J255" s="27">
        <v>92047.125</v>
      </c>
      <c r="K255" s="27">
        <v>84638.125</v>
      </c>
      <c r="L255" s="27">
        <v>89021.25</v>
      </c>
    </row>
    <row r="256" spans="1:12" x14ac:dyDescent="0.2">
      <c r="A256" s="17" t="s">
        <v>147</v>
      </c>
      <c r="B256" s="27">
        <v>-2805</v>
      </c>
      <c r="C256" s="27">
        <v>-8448</v>
      </c>
      <c r="D256" s="27">
        <v>-5472</v>
      </c>
      <c r="E256" s="27">
        <v>-190</v>
      </c>
      <c r="F256" s="27">
        <v>-2266</v>
      </c>
      <c r="G256" s="27">
        <v>2927</v>
      </c>
      <c r="H256" s="27">
        <v>-10177</v>
      </c>
      <c r="I256" s="27">
        <v>1250</v>
      </c>
      <c r="J256" s="27">
        <v>-7965</v>
      </c>
      <c r="K256" s="27">
        <v>-1807</v>
      </c>
      <c r="L256" s="27">
        <v>-2048</v>
      </c>
    </row>
    <row r="257" spans="1:12" x14ac:dyDescent="0.2">
      <c r="A257" s="17" t="s">
        <v>148</v>
      </c>
      <c r="B257" s="27">
        <v>18266</v>
      </c>
      <c r="C257" s="27">
        <v>29305</v>
      </c>
      <c r="D257" s="27">
        <v>22057</v>
      </c>
      <c r="E257" s="27">
        <v>29014</v>
      </c>
      <c r="F257" s="27">
        <v>432</v>
      </c>
      <c r="G257" s="27">
        <v>-7819</v>
      </c>
      <c r="H257" s="27">
        <v>2499</v>
      </c>
      <c r="I257" s="27">
        <v>12665</v>
      </c>
      <c r="J257" s="27">
        <v>-123</v>
      </c>
      <c r="K257" s="27">
        <v>-9901</v>
      </c>
      <c r="L257" s="27">
        <v>-4270</v>
      </c>
    </row>
    <row r="258" spans="1:12" x14ac:dyDescent="0.2">
      <c r="A258" s="17" t="s">
        <v>97</v>
      </c>
      <c r="B258" s="35">
        <v>42669</v>
      </c>
      <c r="C258" s="35">
        <v>43042</v>
      </c>
      <c r="D258" s="35">
        <v>43409</v>
      </c>
      <c r="E258" s="35">
        <v>43769</v>
      </c>
      <c r="F258" s="35">
        <v>44134</v>
      </c>
      <c r="G258" s="35">
        <v>44498</v>
      </c>
      <c r="H258" s="35">
        <v>44862</v>
      </c>
      <c r="I258" s="35">
        <v>45233</v>
      </c>
      <c r="J258" s="35">
        <v>45233</v>
      </c>
      <c r="K258" s="35">
        <v>45233</v>
      </c>
      <c r="L258" s="35">
        <v>45324</v>
      </c>
    </row>
    <row r="259" spans="1:12" x14ac:dyDescent="0.2">
      <c r="A259" s="17" t="s">
        <v>98</v>
      </c>
      <c r="B259" s="36" t="s">
        <v>99</v>
      </c>
      <c r="C259" s="36" t="s">
        <v>99</v>
      </c>
      <c r="D259" s="36" t="s">
        <v>269</v>
      </c>
      <c r="E259" s="36" t="s">
        <v>269</v>
      </c>
      <c r="F259" s="36" t="s">
        <v>99</v>
      </c>
      <c r="G259" s="36" t="s">
        <v>99</v>
      </c>
      <c r="H259" s="36" t="s">
        <v>99</v>
      </c>
      <c r="I259" s="36" t="s">
        <v>99</v>
      </c>
      <c r="J259" s="36" t="s">
        <v>99</v>
      </c>
      <c r="K259" s="36" t="s">
        <v>100</v>
      </c>
      <c r="L259" s="36" t="s">
        <v>100</v>
      </c>
    </row>
    <row r="260" spans="1:12" x14ac:dyDescent="0.2">
      <c r="A260" s="17" t="s">
        <v>101</v>
      </c>
      <c r="B260" s="36" t="s">
        <v>102</v>
      </c>
      <c r="C260" s="36" t="s">
        <v>102</v>
      </c>
      <c r="D260" s="36" t="s">
        <v>102</v>
      </c>
      <c r="E260" s="36" t="s">
        <v>102</v>
      </c>
      <c r="F260" s="36" t="s">
        <v>102</v>
      </c>
      <c r="G260" s="36" t="s">
        <v>102</v>
      </c>
      <c r="H260" s="36" t="s">
        <v>102</v>
      </c>
      <c r="I260" s="36" t="s">
        <v>102</v>
      </c>
      <c r="J260" s="36" t="s">
        <v>102</v>
      </c>
      <c r="K260" s="36" t="s">
        <v>102</v>
      </c>
      <c r="L260" s="36" t="s">
        <v>103</v>
      </c>
    </row>
    <row r="261" spans="1:12" x14ac:dyDescent="0.2">
      <c r="B261" s="36" t="s">
        <v>102</v>
      </c>
      <c r="C261" s="36" t="s">
        <v>102</v>
      </c>
      <c r="D261" s="36" t="s">
        <v>102</v>
      </c>
      <c r="E261" s="36" t="s">
        <v>102</v>
      </c>
      <c r="F261" s="36" t="s">
        <v>102</v>
      </c>
    </row>
    <row r="265" spans="1:12" ht="17" x14ac:dyDescent="0.35">
      <c r="A265" s="13" t="s">
        <v>410</v>
      </c>
    </row>
    <row r="268" spans="1:12" x14ac:dyDescent="0.2">
      <c r="A268" s="20" t="s">
        <v>411</v>
      </c>
      <c r="B268" s="20"/>
      <c r="C268" s="20"/>
      <c r="D268" s="20"/>
      <c r="E268" s="20"/>
      <c r="F268" s="20"/>
      <c r="G268" s="20"/>
      <c r="H268" s="20"/>
      <c r="I268" s="20"/>
      <c r="J268" s="20"/>
      <c r="K268" s="20"/>
    </row>
    <row r="269" spans="1:12" ht="10.5" x14ac:dyDescent="0.25">
      <c r="A269" s="16" t="s">
        <v>12</v>
      </c>
      <c r="B269" s="118" t="s">
        <v>412</v>
      </c>
    </row>
    <row r="270" spans="1:12" ht="10.5" x14ac:dyDescent="0.25">
      <c r="A270" s="16" t="s">
        <v>21</v>
      </c>
      <c r="B270" s="118" t="s">
        <v>413</v>
      </c>
    </row>
    <row r="271" spans="1:12" ht="10.5" x14ac:dyDescent="0.25">
      <c r="A271" s="16" t="s">
        <v>414</v>
      </c>
      <c r="B271" s="119">
        <v>45427</v>
      </c>
    </row>
    <row r="272" spans="1:12" x14ac:dyDescent="0.2">
      <c r="A272" s="17"/>
    </row>
    <row r="274" spans="1:11" x14ac:dyDescent="0.2">
      <c r="A274" s="20" t="s">
        <v>415</v>
      </c>
      <c r="B274" s="20"/>
      <c r="C274" s="20"/>
      <c r="D274" s="20"/>
      <c r="E274" s="20"/>
      <c r="F274" s="20"/>
      <c r="G274" s="20"/>
      <c r="H274" s="20"/>
      <c r="I274" s="20"/>
      <c r="J274" s="20"/>
      <c r="K274" s="20"/>
    </row>
    <row r="275" spans="1:11" ht="31.5" x14ac:dyDescent="0.2">
      <c r="A275" s="120" t="s">
        <v>416</v>
      </c>
      <c r="B275" s="121" t="s">
        <v>417</v>
      </c>
      <c r="C275" s="121" t="s">
        <v>418</v>
      </c>
      <c r="D275" s="121" t="s">
        <v>419</v>
      </c>
      <c r="E275" s="121" t="s">
        <v>420</v>
      </c>
      <c r="F275" s="121" t="s">
        <v>421</v>
      </c>
      <c r="G275" s="121" t="s">
        <v>422</v>
      </c>
      <c r="H275" s="121" t="s">
        <v>423</v>
      </c>
      <c r="I275" s="121" t="s">
        <v>424</v>
      </c>
      <c r="J275" s="121" t="s">
        <v>425</v>
      </c>
      <c r="K275" s="121" t="s">
        <v>426</v>
      </c>
    </row>
    <row r="276" spans="1:11" ht="21" x14ac:dyDescent="0.2">
      <c r="A276" s="120" t="s">
        <v>392</v>
      </c>
      <c r="B276" s="122">
        <v>29867</v>
      </c>
      <c r="C276" s="122">
        <v>283379</v>
      </c>
      <c r="D276" s="122">
        <v>2117228.2999999998</v>
      </c>
      <c r="E276" s="122">
        <v>-81049</v>
      </c>
      <c r="F276" s="122">
        <v>12377</v>
      </c>
      <c r="G276" s="123">
        <v>170.34</v>
      </c>
      <c r="H276" s="122">
        <v>2037514.3</v>
      </c>
      <c r="I276" s="122">
        <v>307394</v>
      </c>
      <c r="J276" s="122">
        <v>73795</v>
      </c>
      <c r="K276" s="33">
        <v>0.32600000000000001</v>
      </c>
    </row>
    <row r="277" spans="1:11" ht="21" x14ac:dyDescent="0.2">
      <c r="A277" s="120" t="s">
        <v>393</v>
      </c>
      <c r="B277" s="122">
        <v>111358</v>
      </c>
      <c r="C277" s="122">
        <v>238268</v>
      </c>
      <c r="D277" s="122">
        <v>3096001.3</v>
      </c>
      <c r="E277" s="122">
        <v>-31815</v>
      </c>
      <c r="F277" s="122">
        <v>7432.3</v>
      </c>
      <c r="G277" s="123">
        <v>423.3</v>
      </c>
      <c r="H277" s="122">
        <v>3122217.3</v>
      </c>
      <c r="I277" s="122">
        <v>227583</v>
      </c>
      <c r="J277" s="122">
        <v>82541</v>
      </c>
      <c r="K277" s="33">
        <v>0.52</v>
      </c>
    </row>
    <row r="278" spans="1:11" ht="21" x14ac:dyDescent="0.2">
      <c r="A278" s="120" t="s">
        <v>394</v>
      </c>
      <c r="B278" s="122">
        <v>37924</v>
      </c>
      <c r="C278" s="122">
        <v>153168</v>
      </c>
      <c r="D278" s="122">
        <v>1196863.7</v>
      </c>
      <c r="E278" s="122">
        <v>-27479</v>
      </c>
      <c r="F278" s="122">
        <v>2536.5</v>
      </c>
      <c r="G278" s="123">
        <v>471.85</v>
      </c>
      <c r="H278" s="122">
        <v>1176376.7</v>
      </c>
      <c r="I278" s="122">
        <v>134902</v>
      </c>
      <c r="J278" s="122">
        <v>39098</v>
      </c>
      <c r="K278" s="33">
        <v>0.45500000000000002</v>
      </c>
    </row>
    <row r="279" spans="1:11" ht="21" x14ac:dyDescent="0.2">
      <c r="A279" s="120" t="s">
        <v>395</v>
      </c>
      <c r="B279" s="122">
        <v>161574</v>
      </c>
      <c r="C279" s="122">
        <v>201875</v>
      </c>
      <c r="D279" s="122">
        <v>1946767.8</v>
      </c>
      <c r="E279" s="122">
        <v>74794</v>
      </c>
      <c r="F279" s="122">
        <v>10406.6</v>
      </c>
      <c r="G279" s="123">
        <v>186.12</v>
      </c>
      <c r="H279" s="122">
        <v>2022253.8</v>
      </c>
      <c r="I279" s="122">
        <v>574785</v>
      </c>
      <c r="J279" s="122">
        <v>30425</v>
      </c>
      <c r="K279" s="33">
        <v>0.14899999999999999</v>
      </c>
    </row>
    <row r="280" spans="1:11" ht="21" x14ac:dyDescent="0.2">
      <c r="A280" s="120" t="s">
        <v>396</v>
      </c>
      <c r="B280" s="122">
        <v>9374.2999999999993</v>
      </c>
      <c r="C280" s="122">
        <v>268740.09999999998</v>
      </c>
      <c r="D280" s="122">
        <v>384631.5</v>
      </c>
      <c r="E280" s="122">
        <v>-58910.1</v>
      </c>
      <c r="F280" s="122">
        <v>6792.7</v>
      </c>
      <c r="G280" s="123">
        <v>57.86</v>
      </c>
      <c r="H280" s="122">
        <v>324119.8</v>
      </c>
      <c r="I280" s="122">
        <v>191340.6</v>
      </c>
      <c r="J280" s="122">
        <v>10695.1</v>
      </c>
      <c r="K280" s="33">
        <v>0.17</v>
      </c>
    </row>
    <row r="281" spans="1:11" ht="10.5" x14ac:dyDescent="0.2">
      <c r="A281" s="120" t="s">
        <v>397</v>
      </c>
      <c r="B281" s="122">
        <v>10934</v>
      </c>
      <c r="C281" s="122">
        <v>-1640</v>
      </c>
      <c r="D281" s="122">
        <v>30685.200000000001</v>
      </c>
      <c r="E281" s="122">
        <v>7565</v>
      </c>
      <c r="F281" s="122">
        <v>978.5</v>
      </c>
      <c r="G281" s="123">
        <v>31.36</v>
      </c>
      <c r="H281" s="122">
        <v>39202.199999999997</v>
      </c>
      <c r="I281" s="122">
        <v>53105</v>
      </c>
      <c r="J281" s="122">
        <v>3416</v>
      </c>
      <c r="K281" s="33">
        <v>9.8000000000000004E-2</v>
      </c>
    </row>
    <row r="282" spans="1:11" ht="21" x14ac:dyDescent="0.2">
      <c r="A282" s="120" t="s">
        <v>398</v>
      </c>
      <c r="B282" s="122">
        <v>26851</v>
      </c>
      <c r="C282" s="122">
        <v>-2309</v>
      </c>
      <c r="D282" s="122">
        <v>106469</v>
      </c>
      <c r="E282" s="122">
        <v>19485</v>
      </c>
      <c r="F282" s="122">
        <v>713.8</v>
      </c>
      <c r="G282" s="123">
        <v>149.16</v>
      </c>
      <c r="H282" s="122">
        <v>126049</v>
      </c>
      <c r="I282" s="122">
        <v>88425</v>
      </c>
      <c r="J282" s="122">
        <v>3211</v>
      </c>
      <c r="K282" s="33">
        <v>9.9000000000000005E-2</v>
      </c>
    </row>
    <row r="283" spans="1:11" ht="21" x14ac:dyDescent="0.2">
      <c r="A283" s="120" t="s">
        <v>399</v>
      </c>
      <c r="B283" s="122">
        <v>51404.800000000003</v>
      </c>
      <c r="C283" s="122">
        <v>120976.6</v>
      </c>
      <c r="D283" s="122">
        <v>453673.1</v>
      </c>
      <c r="E283" s="122">
        <v>-1096</v>
      </c>
      <c r="F283" s="122">
        <v>9281.2000000000007</v>
      </c>
      <c r="G283" s="123">
        <v>48.88</v>
      </c>
      <c r="H283" s="122">
        <v>456885</v>
      </c>
      <c r="I283" s="122">
        <v>84328.9</v>
      </c>
      <c r="J283" s="122">
        <v>15953.7</v>
      </c>
      <c r="K283" s="33">
        <v>0.30199999999999999</v>
      </c>
    </row>
    <row r="284" spans="1:11" ht="10.5" x14ac:dyDescent="0.2">
      <c r="A284" s="124"/>
      <c r="B284" s="124"/>
      <c r="C284" s="124"/>
      <c r="D284" s="124"/>
      <c r="E284" s="124"/>
      <c r="F284" s="124"/>
      <c r="G284" s="124"/>
      <c r="H284" s="124"/>
      <c r="I284" s="124"/>
      <c r="J284" s="124"/>
      <c r="K284" s="124"/>
    </row>
    <row r="285" spans="1:11" ht="10.5" x14ac:dyDescent="0.2">
      <c r="A285" s="125"/>
      <c r="B285" s="125"/>
      <c r="C285" s="125"/>
      <c r="D285" s="125"/>
      <c r="E285" s="125"/>
      <c r="F285" s="125"/>
      <c r="G285" s="125"/>
      <c r="H285" s="125"/>
      <c r="I285" s="125"/>
      <c r="J285" s="125"/>
      <c r="K285" s="125"/>
    </row>
    <row r="286" spans="1:11" ht="10.5" x14ac:dyDescent="0.2">
      <c r="A286" s="120" t="s">
        <v>427</v>
      </c>
      <c r="B286" s="122">
        <v>108040</v>
      </c>
      <c r="C286" s="122">
        <v>74100</v>
      </c>
      <c r="D286" s="122">
        <v>2894271.8</v>
      </c>
      <c r="E286" s="122">
        <v>-38169</v>
      </c>
      <c r="F286" s="122">
        <v>15441.9</v>
      </c>
      <c r="G286" s="123">
        <v>189.75</v>
      </c>
      <c r="H286" s="122">
        <v>2836524.8</v>
      </c>
      <c r="I286" s="122">
        <v>385706</v>
      </c>
      <c r="J286" s="122">
        <v>100913</v>
      </c>
      <c r="K286" s="33">
        <v>0.33700000000000002</v>
      </c>
    </row>
    <row r="287" spans="1:11" ht="10.5" x14ac:dyDescent="0.2">
      <c r="A287" s="124"/>
      <c r="B287" s="124"/>
      <c r="C287" s="124"/>
      <c r="D287" s="124"/>
      <c r="E287" s="124"/>
      <c r="F287" s="124"/>
      <c r="G287" s="124"/>
      <c r="H287" s="124"/>
      <c r="I287" s="124"/>
      <c r="J287" s="124"/>
      <c r="K287" s="124"/>
    </row>
    <row r="288" spans="1:11" ht="31.5" x14ac:dyDescent="0.2">
      <c r="A288" s="120" t="s">
        <v>428</v>
      </c>
      <c r="B288" s="121" t="s">
        <v>417</v>
      </c>
      <c r="C288" s="121" t="s">
        <v>418</v>
      </c>
      <c r="D288" s="121" t="s">
        <v>419</v>
      </c>
      <c r="E288" s="121" t="s">
        <v>420</v>
      </c>
      <c r="F288" s="121" t="s">
        <v>421</v>
      </c>
      <c r="G288" s="121" t="s">
        <v>422</v>
      </c>
      <c r="H288" s="121" t="s">
        <v>423</v>
      </c>
      <c r="I288" s="121" t="s">
        <v>424</v>
      </c>
      <c r="J288" s="121" t="s">
        <v>425</v>
      </c>
      <c r="K288" s="121" t="s">
        <v>426</v>
      </c>
    </row>
    <row r="289" spans="1:11" ht="10.5" x14ac:dyDescent="0.2">
      <c r="A289" s="120" t="s">
        <v>429</v>
      </c>
      <c r="B289" s="122">
        <v>161574</v>
      </c>
      <c r="C289" s="122">
        <v>283379</v>
      </c>
      <c r="D289" s="122">
        <v>3096001.3</v>
      </c>
      <c r="E289" s="122">
        <v>74794</v>
      </c>
      <c r="F289" s="122">
        <v>12377</v>
      </c>
      <c r="G289" s="123">
        <v>471.85</v>
      </c>
      <c r="H289" s="122">
        <v>3122217.3</v>
      </c>
      <c r="I289" s="122">
        <v>574785</v>
      </c>
      <c r="J289" s="122">
        <v>82541</v>
      </c>
      <c r="K289" s="33">
        <v>0.52</v>
      </c>
    </row>
    <row r="290" spans="1:11" ht="10.5" x14ac:dyDescent="0.2">
      <c r="A290" s="120" t="s">
        <v>430</v>
      </c>
      <c r="B290" s="122">
        <v>9374.2999999999993</v>
      </c>
      <c r="C290" s="122">
        <v>-2309</v>
      </c>
      <c r="D290" s="122">
        <v>30685.200000000001</v>
      </c>
      <c r="E290" s="122">
        <v>-81049</v>
      </c>
      <c r="F290" s="122">
        <v>713.8</v>
      </c>
      <c r="G290" s="123">
        <v>31.36</v>
      </c>
      <c r="H290" s="122">
        <v>39202.199999999997</v>
      </c>
      <c r="I290" s="122">
        <v>53105</v>
      </c>
      <c r="J290" s="122">
        <v>3211</v>
      </c>
      <c r="K290" s="33">
        <v>9.8000000000000004E-2</v>
      </c>
    </row>
    <row r="291" spans="1:11" ht="10.5" x14ac:dyDescent="0.2">
      <c r="A291" s="120" t="s">
        <v>257</v>
      </c>
      <c r="B291" s="122">
        <v>54910.9</v>
      </c>
      <c r="C291" s="122">
        <v>157807.20000000001</v>
      </c>
      <c r="D291" s="122">
        <v>1166540</v>
      </c>
      <c r="E291" s="122">
        <v>-12313.1</v>
      </c>
      <c r="F291" s="122">
        <v>6314.8</v>
      </c>
      <c r="G291" s="123">
        <v>192.36</v>
      </c>
      <c r="H291" s="122">
        <v>1163077.2</v>
      </c>
      <c r="I291" s="122">
        <v>207732.9</v>
      </c>
      <c r="J291" s="122">
        <v>32391.9</v>
      </c>
      <c r="K291" s="33">
        <v>0.26500000000000001</v>
      </c>
    </row>
    <row r="292" spans="1:11" ht="10.5" x14ac:dyDescent="0.2">
      <c r="A292" s="120" t="s">
        <v>258</v>
      </c>
      <c r="B292" s="122">
        <v>33895.5</v>
      </c>
      <c r="C292" s="122">
        <v>177521.5</v>
      </c>
      <c r="D292" s="122">
        <v>825268.4</v>
      </c>
      <c r="E292" s="122">
        <v>-14287.5</v>
      </c>
      <c r="F292" s="122">
        <v>7112.5</v>
      </c>
      <c r="G292" s="123">
        <v>159.75</v>
      </c>
      <c r="H292" s="122">
        <v>816630.8</v>
      </c>
      <c r="I292" s="122">
        <v>163121.29999999999</v>
      </c>
      <c r="J292" s="122">
        <v>23189.3</v>
      </c>
      <c r="K292" s="33">
        <v>0.23599999999999999</v>
      </c>
    </row>
    <row r="294" spans="1:11" x14ac:dyDescent="0.2">
      <c r="A294" s="167" t="s">
        <v>464</v>
      </c>
      <c r="B294" s="167"/>
      <c r="C294" s="167"/>
      <c r="D294" s="167"/>
      <c r="E294" s="167"/>
      <c r="F294" s="167"/>
      <c r="G294" s="168"/>
      <c r="H294" s="168"/>
    </row>
    <row r="295" spans="1:11" ht="21" x14ac:dyDescent="0.25">
      <c r="A295" s="172" t="s">
        <v>465</v>
      </c>
      <c r="B295" s="173" t="s">
        <v>466</v>
      </c>
      <c r="C295" s="173" t="s">
        <v>467</v>
      </c>
      <c r="D295" s="173" t="s">
        <v>468</v>
      </c>
      <c r="E295" s="173" t="s">
        <v>469</v>
      </c>
      <c r="F295" s="173" t="s">
        <v>470</v>
      </c>
      <c r="G295" s="166" t="s">
        <v>257</v>
      </c>
      <c r="H295" s="166" t="s">
        <v>258</v>
      </c>
    </row>
    <row r="296" spans="1:11" ht="10.5" x14ac:dyDescent="0.2">
      <c r="A296" s="174" t="s">
        <v>471</v>
      </c>
      <c r="B296" s="170"/>
      <c r="C296" s="170"/>
      <c r="D296" s="170"/>
      <c r="E296" s="170"/>
      <c r="F296" s="170"/>
      <c r="G296" s="166"/>
      <c r="H296" s="166"/>
    </row>
    <row r="297" spans="1:11" x14ac:dyDescent="0.2">
      <c r="A297" s="170" t="s">
        <v>472</v>
      </c>
      <c r="B297" s="171">
        <v>8.1561999999999996E-2</v>
      </c>
      <c r="C297" s="171">
        <v>8.1092999999999998E-2</v>
      </c>
      <c r="D297" s="171">
        <v>0.10093299999999999</v>
      </c>
      <c r="E297" s="171">
        <v>9.4446000000000002E-2</v>
      </c>
      <c r="F297" s="171">
        <v>0.10084</v>
      </c>
      <c r="G297" s="175">
        <f>AVERAGE(B297:F297)</f>
        <v>9.177479999999999E-2</v>
      </c>
      <c r="H297" s="175">
        <f>MEDIAN(B297:F297)</f>
        <v>9.4446000000000002E-2</v>
      </c>
    </row>
    <row r="298" spans="1:11" x14ac:dyDescent="0.2">
      <c r="A298" s="170" t="s">
        <v>473</v>
      </c>
      <c r="B298" s="171">
        <v>0.225076</v>
      </c>
      <c r="C298" s="171">
        <v>0.22207099999999999</v>
      </c>
      <c r="D298" s="171">
        <v>0.27073199999999997</v>
      </c>
      <c r="E298" s="171">
        <v>0.24179400000000001</v>
      </c>
      <c r="F298" s="171">
        <v>0.240096</v>
      </c>
      <c r="G298" s="175">
        <f t="shared" ref="G298:G359" si="0">AVERAGE(B298:F298)</f>
        <v>0.23995380000000002</v>
      </c>
      <c r="H298" s="175">
        <f t="shared" ref="H298:H359" si="1">MEDIAN(B298:F298)</f>
        <v>0.240096</v>
      </c>
    </row>
    <row r="299" spans="1:11" x14ac:dyDescent="0.2">
      <c r="A299" s="170" t="s">
        <v>474</v>
      </c>
      <c r="B299" s="171">
        <v>0.29276000000000002</v>
      </c>
      <c r="C299" s="171">
        <v>0.28941899999999998</v>
      </c>
      <c r="D299" s="171">
        <v>0.37149900000000002</v>
      </c>
      <c r="E299" s="171">
        <v>0.28931699999999999</v>
      </c>
      <c r="F299" s="171">
        <v>0.31673899999999999</v>
      </c>
      <c r="G299" s="175">
        <f t="shared" si="0"/>
        <v>0.31194680000000002</v>
      </c>
      <c r="H299" s="175">
        <f t="shared" si="1"/>
        <v>0.29276000000000002</v>
      </c>
    </row>
    <row r="300" spans="1:11" x14ac:dyDescent="0.2">
      <c r="A300" s="170" t="s">
        <v>475</v>
      </c>
      <c r="B300" s="171">
        <v>0.29550399999999999</v>
      </c>
      <c r="C300" s="171">
        <v>0.29170699999999999</v>
      </c>
      <c r="D300" s="171">
        <v>0.37268200000000001</v>
      </c>
      <c r="E300" s="171">
        <v>0.29030899999999998</v>
      </c>
      <c r="F300" s="171">
        <v>0.31813999999999998</v>
      </c>
      <c r="G300" s="175">
        <f t="shared" si="0"/>
        <v>0.31366839999999996</v>
      </c>
      <c r="H300" s="175">
        <f t="shared" si="1"/>
        <v>0.29550399999999999</v>
      </c>
    </row>
    <row r="301" spans="1:11" x14ac:dyDescent="0.2">
      <c r="A301" s="170"/>
      <c r="B301" s="170"/>
      <c r="C301" s="170"/>
      <c r="D301" s="170"/>
      <c r="E301" s="170"/>
      <c r="F301" s="170"/>
      <c r="G301" s="175"/>
      <c r="H301" s="175"/>
    </row>
    <row r="302" spans="1:11" ht="10.5" x14ac:dyDescent="0.2">
      <c r="A302" s="174" t="s">
        <v>476</v>
      </c>
      <c r="B302" s="170"/>
      <c r="C302" s="170"/>
      <c r="D302" s="170"/>
      <c r="E302" s="170"/>
      <c r="F302" s="170"/>
      <c r="G302" s="175"/>
      <c r="H302" s="175"/>
    </row>
    <row r="303" spans="1:11" x14ac:dyDescent="0.2">
      <c r="A303" s="170" t="s">
        <v>477</v>
      </c>
      <c r="B303" s="171">
        <v>0.47284799999999999</v>
      </c>
      <c r="C303" s="171">
        <v>0.47990100000000002</v>
      </c>
      <c r="D303" s="171">
        <v>0.50966299999999998</v>
      </c>
      <c r="E303" s="171">
        <v>0.50243300000000002</v>
      </c>
      <c r="F303" s="171">
        <v>0.52312999999999998</v>
      </c>
      <c r="G303" s="175">
        <f t="shared" si="0"/>
        <v>0.49759500000000001</v>
      </c>
      <c r="H303" s="175">
        <f t="shared" si="1"/>
        <v>0.50243300000000002</v>
      </c>
    </row>
    <row r="304" spans="1:11" x14ac:dyDescent="0.2">
      <c r="A304" s="170" t="s">
        <v>478</v>
      </c>
      <c r="B304" s="171">
        <v>0.158835</v>
      </c>
      <c r="C304" s="171">
        <v>0.155671</v>
      </c>
      <c r="D304" s="171">
        <v>0.14709</v>
      </c>
      <c r="E304" s="171">
        <v>0.149252</v>
      </c>
      <c r="F304" s="171">
        <v>0.137652</v>
      </c>
      <c r="G304" s="175">
        <f t="shared" si="0"/>
        <v>0.1497</v>
      </c>
      <c r="H304" s="175">
        <f t="shared" si="1"/>
        <v>0.149252</v>
      </c>
    </row>
    <row r="305" spans="1:8" x14ac:dyDescent="0.2">
      <c r="A305" s="170" t="s">
        <v>479</v>
      </c>
      <c r="B305" s="171">
        <v>0.30149799999999999</v>
      </c>
      <c r="C305" s="171">
        <v>0.30535699999999999</v>
      </c>
      <c r="D305" s="171">
        <v>0.33199299999999998</v>
      </c>
      <c r="E305" s="171">
        <v>0.31993500000000002</v>
      </c>
      <c r="F305" s="171">
        <v>0.32234099999999999</v>
      </c>
      <c r="G305" s="175">
        <f t="shared" si="0"/>
        <v>0.31622479999999997</v>
      </c>
      <c r="H305" s="175">
        <f t="shared" si="1"/>
        <v>0.31993500000000002</v>
      </c>
    </row>
    <row r="306" spans="1:8" x14ac:dyDescent="0.2">
      <c r="A306" s="170" t="s">
        <v>480</v>
      </c>
      <c r="B306" s="171">
        <v>0.25183299999999997</v>
      </c>
      <c r="C306" s="171">
        <v>0.25806000000000001</v>
      </c>
      <c r="D306" s="171">
        <v>0.29037600000000002</v>
      </c>
      <c r="E306" s="171">
        <v>0.27839000000000003</v>
      </c>
      <c r="F306" s="171">
        <v>0.280227</v>
      </c>
      <c r="G306" s="175">
        <f t="shared" si="0"/>
        <v>0.2717772</v>
      </c>
      <c r="H306" s="175">
        <f t="shared" si="1"/>
        <v>0.27839000000000003</v>
      </c>
    </row>
    <row r="307" spans="1:8" x14ac:dyDescent="0.2">
      <c r="A307" s="170" t="s">
        <v>481</v>
      </c>
      <c r="B307" s="171">
        <v>0.23157700000000001</v>
      </c>
      <c r="C307" s="171">
        <v>0.23496900000000001</v>
      </c>
      <c r="D307" s="171">
        <v>0.27012599999999998</v>
      </c>
      <c r="E307" s="171">
        <v>0.25613599999999997</v>
      </c>
      <c r="F307" s="171">
        <v>0.26193699999999998</v>
      </c>
      <c r="G307" s="175">
        <f t="shared" si="0"/>
        <v>0.25094899999999998</v>
      </c>
      <c r="H307" s="175">
        <f t="shared" si="1"/>
        <v>0.25613599999999997</v>
      </c>
    </row>
    <row r="308" spans="1:8" x14ac:dyDescent="0.2">
      <c r="A308" s="170" t="s">
        <v>482</v>
      </c>
      <c r="B308" s="176" t="s">
        <v>6</v>
      </c>
      <c r="C308" s="176" t="s">
        <v>6</v>
      </c>
      <c r="D308" s="176" t="s">
        <v>6</v>
      </c>
      <c r="E308" s="176" t="s">
        <v>6</v>
      </c>
      <c r="F308" s="176" t="s">
        <v>6</v>
      </c>
      <c r="G308" s="175"/>
      <c r="H308" s="175"/>
    </row>
    <row r="309" spans="1:8" x14ac:dyDescent="0.2">
      <c r="A309" s="170" t="s">
        <v>483</v>
      </c>
      <c r="B309" s="176" t="s">
        <v>6</v>
      </c>
      <c r="C309" s="176" t="s">
        <v>6</v>
      </c>
      <c r="D309" s="176" t="s">
        <v>6</v>
      </c>
      <c r="E309" s="176" t="s">
        <v>6</v>
      </c>
      <c r="F309" s="176" t="s">
        <v>6</v>
      </c>
      <c r="G309" s="175"/>
      <c r="H309" s="175"/>
    </row>
    <row r="310" spans="1:8" x14ac:dyDescent="0.2">
      <c r="A310" s="170" t="s">
        <v>484</v>
      </c>
      <c r="B310" s="171">
        <v>0.18826000000000001</v>
      </c>
      <c r="C310" s="171">
        <v>0.19139300000000001</v>
      </c>
      <c r="D310" s="171">
        <v>0.23166700000000001</v>
      </c>
      <c r="E310" s="171">
        <v>0.191548</v>
      </c>
      <c r="F310" s="171">
        <v>0.21597</v>
      </c>
      <c r="G310" s="175">
        <f t="shared" si="0"/>
        <v>0.20376760000000002</v>
      </c>
      <c r="H310" s="175">
        <f t="shared" si="1"/>
        <v>0.191548</v>
      </c>
    </row>
    <row r="311" spans="1:8" x14ac:dyDescent="0.2">
      <c r="A311" s="170" t="s">
        <v>485</v>
      </c>
      <c r="B311" s="171">
        <v>0.19070000000000001</v>
      </c>
      <c r="C311" s="171">
        <v>0.19133</v>
      </c>
      <c r="D311" s="171">
        <v>0.23217099999999999</v>
      </c>
      <c r="E311" s="171">
        <v>0.19337499999999999</v>
      </c>
      <c r="F311" s="171">
        <v>0.21579499999999999</v>
      </c>
      <c r="G311" s="175">
        <f t="shared" si="0"/>
        <v>0.2046742</v>
      </c>
      <c r="H311" s="175">
        <f t="shared" si="1"/>
        <v>0.19337499999999999</v>
      </c>
    </row>
    <row r="312" spans="1:8" x14ac:dyDescent="0.2">
      <c r="A312" s="170" t="s">
        <v>486</v>
      </c>
      <c r="B312" s="171">
        <v>0.18759200000000001</v>
      </c>
      <c r="C312" s="171">
        <v>0.190748</v>
      </c>
      <c r="D312" s="171">
        <v>0.23064799999999999</v>
      </c>
      <c r="E312" s="171">
        <v>0.191049</v>
      </c>
      <c r="F312" s="171">
        <v>0.215776</v>
      </c>
      <c r="G312" s="175">
        <f t="shared" si="0"/>
        <v>0.20316260000000003</v>
      </c>
      <c r="H312" s="175">
        <f t="shared" si="1"/>
        <v>0.191049</v>
      </c>
    </row>
    <row r="313" spans="1:8" x14ac:dyDescent="0.2">
      <c r="A313" s="170" t="s">
        <v>487</v>
      </c>
      <c r="B313" s="171">
        <v>0.14068600000000001</v>
      </c>
      <c r="C313" s="171">
        <v>0.14105300000000001</v>
      </c>
      <c r="D313" s="171">
        <v>0.16384699999999999</v>
      </c>
      <c r="E313" s="171">
        <v>0.15558</v>
      </c>
      <c r="F313" s="171">
        <v>0.161495</v>
      </c>
      <c r="G313" s="175">
        <f t="shared" si="0"/>
        <v>0.15253220000000001</v>
      </c>
      <c r="H313" s="175">
        <f t="shared" si="1"/>
        <v>0.15558</v>
      </c>
    </row>
    <row r="314" spans="1:8" x14ac:dyDescent="0.2">
      <c r="A314" s="170" t="s">
        <v>488</v>
      </c>
      <c r="B314" s="171">
        <v>0.18654399999999999</v>
      </c>
      <c r="C314" s="171">
        <v>0.20074</v>
      </c>
      <c r="D314" s="171">
        <v>0.18839600000000001</v>
      </c>
      <c r="E314" s="171">
        <v>0.18787899999999999</v>
      </c>
      <c r="F314" s="171">
        <v>0.18790699999999999</v>
      </c>
      <c r="G314" s="175">
        <f t="shared" si="0"/>
        <v>0.1902932</v>
      </c>
      <c r="H314" s="175">
        <f t="shared" si="1"/>
        <v>0.18790699999999999</v>
      </c>
    </row>
    <row r="315" spans="1:8" x14ac:dyDescent="0.2">
      <c r="A315" s="170" t="s">
        <v>489</v>
      </c>
      <c r="B315" s="171">
        <v>0.19637099999999999</v>
      </c>
      <c r="C315" s="171">
        <v>0.20984800000000001</v>
      </c>
      <c r="D315" s="171">
        <v>0.19598399999999999</v>
      </c>
      <c r="E315" s="171">
        <v>0.195216</v>
      </c>
      <c r="F315" s="171">
        <v>0.19686600000000001</v>
      </c>
      <c r="G315" s="175">
        <f t="shared" si="0"/>
        <v>0.19885700000000001</v>
      </c>
      <c r="H315" s="175">
        <f t="shared" si="1"/>
        <v>0.19637099999999999</v>
      </c>
    </row>
    <row r="316" spans="1:8" x14ac:dyDescent="0.2">
      <c r="A316" s="170"/>
      <c r="B316" s="170"/>
      <c r="C316" s="170"/>
      <c r="D316" s="170"/>
      <c r="E316" s="170"/>
      <c r="F316" s="170"/>
      <c r="G316" s="175"/>
      <c r="H316" s="175"/>
    </row>
    <row r="317" spans="1:8" ht="10.5" x14ac:dyDescent="0.2">
      <c r="A317" s="174" t="s">
        <v>490</v>
      </c>
      <c r="B317" s="170"/>
      <c r="C317" s="170"/>
      <c r="D317" s="170"/>
      <c r="E317" s="170"/>
      <c r="F317" s="170"/>
      <c r="G317" s="175"/>
      <c r="H317" s="175"/>
    </row>
    <row r="318" spans="1:8" x14ac:dyDescent="0.2">
      <c r="A318" s="170" t="s">
        <v>491</v>
      </c>
      <c r="B318" s="177">
        <v>0.56352199999999997</v>
      </c>
      <c r="C318" s="177">
        <v>0.55219300000000004</v>
      </c>
      <c r="D318" s="177">
        <v>0.59784099999999996</v>
      </c>
      <c r="E318" s="177">
        <v>0.58997500000000003</v>
      </c>
      <c r="F318" s="177">
        <v>0.61596300000000004</v>
      </c>
      <c r="G318" s="177">
        <f t="shared" si="0"/>
        <v>0.58389880000000005</v>
      </c>
      <c r="H318" s="177">
        <f t="shared" si="1"/>
        <v>0.58997500000000003</v>
      </c>
    </row>
    <row r="319" spans="1:8" x14ac:dyDescent="0.2">
      <c r="A319" s="170" t="s">
        <v>492</v>
      </c>
      <c r="B319" s="177">
        <v>4.4176289999999998</v>
      </c>
      <c r="C319" s="177">
        <v>4.1529040000000004</v>
      </c>
      <c r="D319" s="177">
        <v>4.6302430000000001</v>
      </c>
      <c r="E319" s="177">
        <v>4.2674560000000001</v>
      </c>
      <c r="F319" s="177">
        <v>3.631437</v>
      </c>
      <c r="G319" s="177">
        <f t="shared" si="0"/>
        <v>4.2199337999999997</v>
      </c>
      <c r="H319" s="177">
        <f t="shared" si="1"/>
        <v>4.2674560000000001</v>
      </c>
    </row>
    <row r="320" spans="1:8" x14ac:dyDescent="0.2">
      <c r="A320" s="170" t="s">
        <v>493</v>
      </c>
      <c r="B320" s="177">
        <v>7.1692109999999998</v>
      </c>
      <c r="C320" s="177">
        <v>7.0457900000000002</v>
      </c>
      <c r="D320" s="177">
        <v>7.4241380000000001</v>
      </c>
      <c r="E320" s="177">
        <v>7.2220079999999998</v>
      </c>
      <c r="F320" s="177">
        <v>7.357246</v>
      </c>
      <c r="G320" s="177">
        <f t="shared" si="0"/>
        <v>7.2436786</v>
      </c>
      <c r="H320" s="177">
        <f t="shared" si="1"/>
        <v>7.2220079999999998</v>
      </c>
    </row>
    <row r="321" spans="1:8" x14ac:dyDescent="0.2">
      <c r="A321" s="170" t="s">
        <v>494</v>
      </c>
      <c r="B321" s="177">
        <v>10.65161</v>
      </c>
      <c r="C321" s="177">
        <v>10.294908</v>
      </c>
      <c r="D321" s="177">
        <v>9.4773399999999999</v>
      </c>
      <c r="E321" s="177">
        <v>8.0942849999999993</v>
      </c>
      <c r="F321" s="177">
        <v>6.3295640000000004</v>
      </c>
      <c r="G321" s="177">
        <f t="shared" si="0"/>
        <v>8.9695413999999989</v>
      </c>
      <c r="H321" s="177">
        <f t="shared" si="1"/>
        <v>9.4773399999999999</v>
      </c>
    </row>
    <row r="322" spans="1:8" x14ac:dyDescent="0.2">
      <c r="A322" s="170"/>
      <c r="B322" s="170"/>
      <c r="C322" s="170"/>
      <c r="D322" s="170"/>
      <c r="E322" s="170"/>
      <c r="F322" s="170"/>
      <c r="G322" s="175" t="e">
        <f t="shared" si="0"/>
        <v>#DIV/0!</v>
      </c>
      <c r="H322" s="175" t="e">
        <f t="shared" si="1"/>
        <v>#NUM!</v>
      </c>
    </row>
    <row r="323" spans="1:8" ht="10.5" x14ac:dyDescent="0.2">
      <c r="A323" s="174" t="s">
        <v>495</v>
      </c>
      <c r="B323" s="170"/>
      <c r="C323" s="170"/>
      <c r="D323" s="170"/>
      <c r="E323" s="170"/>
      <c r="F323" s="170"/>
      <c r="G323" s="175" t="e">
        <f t="shared" si="0"/>
        <v>#DIV/0!</v>
      </c>
      <c r="H323" s="175" t="e">
        <f t="shared" si="1"/>
        <v>#NUM!</v>
      </c>
    </row>
    <row r="324" spans="1:8" x14ac:dyDescent="0.2">
      <c r="A324" s="170" t="s">
        <v>496</v>
      </c>
      <c r="B324" s="176" t="s">
        <v>6</v>
      </c>
      <c r="C324" s="176" t="s">
        <v>6</v>
      </c>
      <c r="D324" s="176" t="s">
        <v>6</v>
      </c>
      <c r="E324" s="176" t="s">
        <v>6</v>
      </c>
      <c r="F324" s="176" t="s">
        <v>6</v>
      </c>
      <c r="G324" s="175" t="e">
        <f t="shared" si="0"/>
        <v>#DIV/0!</v>
      </c>
      <c r="H324" s="175" t="e">
        <f t="shared" si="1"/>
        <v>#NUM!</v>
      </c>
    </row>
    <row r="325" spans="1:8" x14ac:dyDescent="0.2">
      <c r="A325" s="170" t="s">
        <v>497</v>
      </c>
      <c r="B325" s="176" t="s">
        <v>6</v>
      </c>
      <c r="C325" s="176" t="s">
        <v>6</v>
      </c>
      <c r="D325" s="176" t="s">
        <v>6</v>
      </c>
      <c r="E325" s="176" t="s">
        <v>6</v>
      </c>
      <c r="F325" s="176" t="s">
        <v>6</v>
      </c>
      <c r="G325" s="175" t="e">
        <f t="shared" si="0"/>
        <v>#DIV/0!</v>
      </c>
      <c r="H325" s="175" t="e">
        <f t="shared" si="1"/>
        <v>#NUM!</v>
      </c>
    </row>
    <row r="326" spans="1:8" x14ac:dyDescent="0.2">
      <c r="A326" s="170" t="s">
        <v>498</v>
      </c>
      <c r="B326" s="176" t="s">
        <v>6</v>
      </c>
      <c r="C326" s="176" t="s">
        <v>6</v>
      </c>
      <c r="D326" s="176" t="s">
        <v>6</v>
      </c>
      <c r="E326" s="176" t="s">
        <v>6</v>
      </c>
      <c r="F326" s="176" t="s">
        <v>6</v>
      </c>
      <c r="G326" s="175" t="e">
        <f t="shared" si="0"/>
        <v>#DIV/0!</v>
      </c>
      <c r="H326" s="175" t="e">
        <f t="shared" si="1"/>
        <v>#NUM!</v>
      </c>
    </row>
    <row r="327" spans="1:8" x14ac:dyDescent="0.2">
      <c r="A327" s="170" t="s">
        <v>499</v>
      </c>
      <c r="B327" s="176" t="s">
        <v>6</v>
      </c>
      <c r="C327" s="176" t="s">
        <v>6</v>
      </c>
      <c r="D327" s="176" t="s">
        <v>6</v>
      </c>
      <c r="E327" s="176" t="s">
        <v>6</v>
      </c>
      <c r="F327" s="176" t="s">
        <v>6</v>
      </c>
      <c r="G327" s="175" t="e">
        <f t="shared" si="0"/>
        <v>#DIV/0!</v>
      </c>
      <c r="H327" s="175" t="e">
        <f t="shared" si="1"/>
        <v>#NUM!</v>
      </c>
    </row>
    <row r="328" spans="1:8" x14ac:dyDescent="0.2">
      <c r="A328" s="170" t="s">
        <v>500</v>
      </c>
      <c r="B328" s="176" t="s">
        <v>6</v>
      </c>
      <c r="C328" s="176" t="s">
        <v>6</v>
      </c>
      <c r="D328" s="176" t="s">
        <v>6</v>
      </c>
      <c r="E328" s="176" t="s">
        <v>6</v>
      </c>
      <c r="F328" s="176" t="s">
        <v>6</v>
      </c>
      <c r="G328" s="175" t="e">
        <f t="shared" si="0"/>
        <v>#DIV/0!</v>
      </c>
      <c r="H328" s="175" t="e">
        <f t="shared" si="1"/>
        <v>#NUM!</v>
      </c>
    </row>
    <row r="329" spans="1:8" x14ac:dyDescent="0.2">
      <c r="A329" s="170"/>
      <c r="B329" s="170"/>
      <c r="C329" s="170"/>
      <c r="D329" s="170"/>
      <c r="E329" s="170"/>
      <c r="F329" s="170"/>
      <c r="G329" s="175" t="e">
        <f t="shared" si="0"/>
        <v>#DIV/0!</v>
      </c>
      <c r="H329" s="175" t="e">
        <f t="shared" si="1"/>
        <v>#NUM!</v>
      </c>
    </row>
    <row r="330" spans="1:8" ht="10.5" x14ac:dyDescent="0.2">
      <c r="A330" s="174" t="s">
        <v>501</v>
      </c>
      <c r="B330" s="170"/>
      <c r="C330" s="170"/>
      <c r="D330" s="170"/>
      <c r="E330" s="170"/>
      <c r="F330" s="170"/>
      <c r="G330" s="175" t="e">
        <f t="shared" si="0"/>
        <v>#DIV/0!</v>
      </c>
      <c r="H330" s="175" t="e">
        <f t="shared" si="1"/>
        <v>#NUM!</v>
      </c>
    </row>
    <row r="331" spans="1:8" x14ac:dyDescent="0.2">
      <c r="A331" s="170" t="s">
        <v>502</v>
      </c>
      <c r="B331" s="176" t="s">
        <v>6</v>
      </c>
      <c r="C331" s="176" t="s">
        <v>6</v>
      </c>
      <c r="D331" s="176" t="s">
        <v>6</v>
      </c>
      <c r="E331" s="176" t="s">
        <v>6</v>
      </c>
      <c r="F331" s="176" t="s">
        <v>6</v>
      </c>
      <c r="G331" s="175" t="e">
        <f t="shared" si="0"/>
        <v>#DIV/0!</v>
      </c>
      <c r="H331" s="175" t="e">
        <f t="shared" si="1"/>
        <v>#NUM!</v>
      </c>
    </row>
    <row r="332" spans="1:8" x14ac:dyDescent="0.2">
      <c r="A332" s="170" t="s">
        <v>503</v>
      </c>
      <c r="B332" s="176" t="s">
        <v>6</v>
      </c>
      <c r="C332" s="176" t="s">
        <v>6</v>
      </c>
      <c r="D332" s="176" t="s">
        <v>6</v>
      </c>
      <c r="E332" s="176" t="s">
        <v>6</v>
      </c>
      <c r="F332" s="176" t="s">
        <v>6</v>
      </c>
      <c r="G332" s="175" t="e">
        <f t="shared" si="0"/>
        <v>#DIV/0!</v>
      </c>
      <c r="H332" s="175" t="e">
        <f t="shared" si="1"/>
        <v>#NUM!</v>
      </c>
    </row>
    <row r="333" spans="1:8" x14ac:dyDescent="0.2">
      <c r="A333" s="170"/>
      <c r="B333" s="170"/>
      <c r="C333" s="170"/>
      <c r="D333" s="170"/>
      <c r="E333" s="170"/>
      <c r="F333" s="170"/>
      <c r="G333" s="175" t="e">
        <f t="shared" si="0"/>
        <v>#DIV/0!</v>
      </c>
      <c r="H333" s="175" t="e">
        <f t="shared" si="1"/>
        <v>#NUM!</v>
      </c>
    </row>
    <row r="334" spans="1:8" ht="10.5" x14ac:dyDescent="0.2">
      <c r="A334" s="174" t="s">
        <v>504</v>
      </c>
      <c r="B334" s="170"/>
      <c r="C334" s="170"/>
      <c r="D334" s="170"/>
      <c r="E334" s="170"/>
      <c r="F334" s="170"/>
      <c r="G334" s="175" t="e">
        <f t="shared" si="0"/>
        <v>#DIV/0!</v>
      </c>
      <c r="H334" s="175" t="e">
        <f t="shared" si="1"/>
        <v>#NUM!</v>
      </c>
    </row>
    <row r="335" spans="1:8" x14ac:dyDescent="0.2">
      <c r="A335" s="170" t="s">
        <v>505</v>
      </c>
      <c r="B335" s="177">
        <v>1.5730029999999999</v>
      </c>
      <c r="C335" s="177">
        <v>1.5195510000000001</v>
      </c>
      <c r="D335" s="177">
        <v>1.429864</v>
      </c>
      <c r="E335" s="177">
        <v>1.344851</v>
      </c>
      <c r="F335" s="177">
        <v>1.3583719999999999</v>
      </c>
      <c r="G335" s="177">
        <f t="shared" si="0"/>
        <v>1.4451282000000001</v>
      </c>
      <c r="H335" s="177">
        <f t="shared" si="1"/>
        <v>1.429864</v>
      </c>
    </row>
    <row r="336" spans="1:8" x14ac:dyDescent="0.2">
      <c r="A336" s="170" t="s">
        <v>506</v>
      </c>
      <c r="B336" s="177">
        <v>1.167114</v>
      </c>
      <c r="C336" s="177">
        <v>1.1246290000000001</v>
      </c>
      <c r="D336" s="177">
        <v>1.008883</v>
      </c>
      <c r="E336" s="177">
        <v>0.88353199999999998</v>
      </c>
      <c r="F336" s="177">
        <v>1.0259130000000001</v>
      </c>
      <c r="G336" s="177">
        <f t="shared" si="0"/>
        <v>1.0420142000000001</v>
      </c>
      <c r="H336" s="177">
        <f t="shared" si="1"/>
        <v>1.0259130000000001</v>
      </c>
    </row>
    <row r="337" spans="1:8" x14ac:dyDescent="0.2">
      <c r="A337" s="170" t="s">
        <v>507</v>
      </c>
      <c r="B337" s="177">
        <v>0.60569399999999995</v>
      </c>
      <c r="C337" s="177">
        <v>0.61945499999999998</v>
      </c>
      <c r="D337" s="177">
        <v>0.659968</v>
      </c>
      <c r="E337" s="177">
        <v>0.59504500000000005</v>
      </c>
      <c r="F337" s="177">
        <v>0.72233599999999998</v>
      </c>
      <c r="G337" s="177">
        <f t="shared" si="0"/>
        <v>0.64049959999999995</v>
      </c>
      <c r="H337" s="177">
        <f t="shared" si="1"/>
        <v>0.61945499999999998</v>
      </c>
    </row>
    <row r="338" spans="1:8" x14ac:dyDescent="0.2">
      <c r="A338" s="170" t="s">
        <v>508</v>
      </c>
      <c r="B338" s="178">
        <v>50.91216</v>
      </c>
      <c r="C338" s="178">
        <v>51.803981999999998</v>
      </c>
      <c r="D338" s="178">
        <v>49.163953999999997</v>
      </c>
      <c r="E338" s="178">
        <v>50.539959000000003</v>
      </c>
      <c r="F338" s="178">
        <v>49.610956000000002</v>
      </c>
      <c r="G338" s="178">
        <f t="shared" si="0"/>
        <v>50.406202199999996</v>
      </c>
      <c r="H338" s="178">
        <f t="shared" si="1"/>
        <v>50.539959000000003</v>
      </c>
    </row>
    <row r="339" spans="1:8" x14ac:dyDescent="0.2">
      <c r="A339" s="170" t="s">
        <v>509</v>
      </c>
      <c r="B339" s="178">
        <v>34.267119000000001</v>
      </c>
      <c r="C339" s="178">
        <v>35.454419999999999</v>
      </c>
      <c r="D339" s="178">
        <v>38.512915999999997</v>
      </c>
      <c r="E339" s="178">
        <v>45.093544000000001</v>
      </c>
      <c r="F339" s="178">
        <v>57.665903</v>
      </c>
      <c r="G339" s="178">
        <f t="shared" si="0"/>
        <v>42.198780399999997</v>
      </c>
      <c r="H339" s="178">
        <f t="shared" si="1"/>
        <v>38.512915999999997</v>
      </c>
    </row>
    <row r="340" spans="1:8" x14ac:dyDescent="0.2">
      <c r="A340" s="170" t="s">
        <v>510</v>
      </c>
      <c r="B340" s="178">
        <v>66.223262000000005</v>
      </c>
      <c r="C340" s="178">
        <v>69.911530999999997</v>
      </c>
      <c r="D340" s="178">
        <v>74.700843000000006</v>
      </c>
      <c r="E340" s="178">
        <v>70.535430000000005</v>
      </c>
      <c r="F340" s="178">
        <v>76.922449999999998</v>
      </c>
      <c r="G340" s="178">
        <f t="shared" si="0"/>
        <v>71.658703200000019</v>
      </c>
      <c r="H340" s="178">
        <f t="shared" si="1"/>
        <v>70.535430000000005</v>
      </c>
    </row>
    <row r="341" spans="1:8" x14ac:dyDescent="0.2">
      <c r="A341" s="170" t="s">
        <v>511</v>
      </c>
      <c r="B341" s="178">
        <v>18.956016999999999</v>
      </c>
      <c r="C341" s="178">
        <v>17.346871</v>
      </c>
      <c r="D341" s="178">
        <v>12.976027</v>
      </c>
      <c r="E341" s="178">
        <v>25.098074</v>
      </c>
      <c r="F341" s="178">
        <v>30.354410000000001</v>
      </c>
      <c r="G341" s="178">
        <f t="shared" si="0"/>
        <v>20.946279799999999</v>
      </c>
      <c r="H341" s="178">
        <f t="shared" si="1"/>
        <v>18.956016999999999</v>
      </c>
    </row>
    <row r="342" spans="1:8" x14ac:dyDescent="0.2">
      <c r="A342" s="170" t="s">
        <v>512</v>
      </c>
      <c r="B342" s="171">
        <v>0.33722999999999997</v>
      </c>
      <c r="C342" s="171">
        <v>0.33058199999999999</v>
      </c>
      <c r="D342" s="171">
        <v>0.24621399999999999</v>
      </c>
      <c r="E342" s="171">
        <v>0.29945500000000003</v>
      </c>
      <c r="F342" s="171">
        <v>0.26794899999999999</v>
      </c>
      <c r="G342" s="175">
        <f t="shared" si="0"/>
        <v>0.29628599999999999</v>
      </c>
      <c r="H342" s="175">
        <f t="shared" si="1"/>
        <v>0.29945500000000003</v>
      </c>
    </row>
    <row r="343" spans="1:8" x14ac:dyDescent="0.2">
      <c r="A343" s="170"/>
      <c r="B343" s="170"/>
      <c r="C343" s="170"/>
      <c r="D343" s="170"/>
      <c r="E343" s="170"/>
      <c r="F343" s="170"/>
      <c r="G343" s="175" t="e">
        <f t="shared" si="0"/>
        <v>#DIV/0!</v>
      </c>
      <c r="H343" s="175" t="e">
        <f t="shared" si="1"/>
        <v>#NUM!</v>
      </c>
    </row>
    <row r="344" spans="1:8" ht="10.5" x14ac:dyDescent="0.2">
      <c r="A344" s="174" t="s">
        <v>513</v>
      </c>
      <c r="B344" s="170"/>
      <c r="C344" s="170"/>
      <c r="D344" s="170"/>
      <c r="E344" s="170"/>
      <c r="F344" s="170"/>
      <c r="G344" s="175" t="e">
        <f t="shared" si="0"/>
        <v>#DIV/0!</v>
      </c>
      <c r="H344" s="175" t="e">
        <f t="shared" si="1"/>
        <v>#NUM!</v>
      </c>
    </row>
    <row r="345" spans="1:8" x14ac:dyDescent="0.2">
      <c r="A345" s="170" t="s">
        <v>514</v>
      </c>
      <c r="B345" s="171">
        <v>0.82665699999999998</v>
      </c>
      <c r="C345" s="171">
        <v>0.81743299999999997</v>
      </c>
      <c r="D345" s="171">
        <v>0.72202100000000002</v>
      </c>
      <c r="E345" s="171">
        <v>0.67962999999999996</v>
      </c>
      <c r="F345" s="171">
        <v>0.62728399999999995</v>
      </c>
      <c r="G345" s="175">
        <f t="shared" si="0"/>
        <v>0.73460499999999995</v>
      </c>
      <c r="H345" s="175">
        <f t="shared" si="1"/>
        <v>0.72202100000000002</v>
      </c>
    </row>
    <row r="346" spans="1:8" x14ac:dyDescent="0.2">
      <c r="A346" s="170" t="s">
        <v>515</v>
      </c>
      <c r="B346" s="171">
        <v>0.45255200000000001</v>
      </c>
      <c r="C346" s="171">
        <v>0.44977299999999998</v>
      </c>
      <c r="D346" s="171">
        <v>0.41928700000000002</v>
      </c>
      <c r="E346" s="171">
        <v>0.40463100000000002</v>
      </c>
      <c r="F346" s="171">
        <v>0.38547900000000002</v>
      </c>
      <c r="G346" s="175">
        <f t="shared" si="0"/>
        <v>0.42234439999999995</v>
      </c>
      <c r="H346" s="175">
        <f t="shared" si="1"/>
        <v>0.41928700000000002</v>
      </c>
    </row>
    <row r="347" spans="1:8" x14ac:dyDescent="0.2">
      <c r="A347" s="170" t="s">
        <v>516</v>
      </c>
      <c r="B347" s="171">
        <v>0.65147600000000006</v>
      </c>
      <c r="C347" s="171">
        <v>0.66798000000000002</v>
      </c>
      <c r="D347" s="171">
        <v>0.60115399999999997</v>
      </c>
      <c r="E347" s="171">
        <v>0.56715099999999996</v>
      </c>
      <c r="F347" s="171">
        <v>0.491116</v>
      </c>
      <c r="G347" s="175">
        <f t="shared" si="0"/>
        <v>0.59577539999999996</v>
      </c>
      <c r="H347" s="175">
        <f t="shared" si="1"/>
        <v>0.60115399999999997</v>
      </c>
    </row>
    <row r="348" spans="1:8" x14ac:dyDescent="0.2">
      <c r="A348" s="170" t="s">
        <v>517</v>
      </c>
      <c r="B348" s="171">
        <v>0.35664899999999999</v>
      </c>
      <c r="C348" s="171">
        <v>0.36754100000000001</v>
      </c>
      <c r="D348" s="171">
        <v>0.34909800000000002</v>
      </c>
      <c r="E348" s="171">
        <v>0.33766400000000002</v>
      </c>
      <c r="F348" s="171">
        <v>0.30180099999999999</v>
      </c>
      <c r="G348" s="175">
        <f t="shared" si="0"/>
        <v>0.34255059999999998</v>
      </c>
      <c r="H348" s="175">
        <f t="shared" si="1"/>
        <v>0.34909800000000002</v>
      </c>
    </row>
    <row r="349" spans="1:8" x14ac:dyDescent="0.2">
      <c r="A349" s="170" t="s">
        <v>518</v>
      </c>
      <c r="B349" s="171">
        <v>0.63310200000000005</v>
      </c>
      <c r="C349" s="171">
        <v>0.64000699999999999</v>
      </c>
      <c r="D349" s="171">
        <v>0.619502</v>
      </c>
      <c r="E349" s="171">
        <v>0.604464</v>
      </c>
      <c r="F349" s="171">
        <v>0.56772299999999998</v>
      </c>
      <c r="G349" s="175">
        <f t="shared" si="0"/>
        <v>0.61295960000000005</v>
      </c>
      <c r="H349" s="175">
        <f t="shared" si="1"/>
        <v>0.619502</v>
      </c>
    </row>
    <row r="350" spans="1:8" x14ac:dyDescent="0.2">
      <c r="A350" s="170"/>
      <c r="B350" s="170"/>
      <c r="C350" s="170"/>
      <c r="D350" s="170"/>
      <c r="E350" s="170"/>
      <c r="F350" s="170"/>
      <c r="G350" s="175" t="e">
        <f t="shared" si="0"/>
        <v>#DIV/0!</v>
      </c>
      <c r="H350" s="175" t="e">
        <f t="shared" si="1"/>
        <v>#NUM!</v>
      </c>
    </row>
    <row r="351" spans="1:8" x14ac:dyDescent="0.2">
      <c r="A351" s="170" t="s">
        <v>519</v>
      </c>
      <c r="B351" s="177">
        <v>14.072425000000001</v>
      </c>
      <c r="C351" s="177">
        <v>15.660970000000001</v>
      </c>
      <c r="D351" s="177">
        <v>21.599088999999999</v>
      </c>
      <c r="E351" s="177">
        <v>21.464558</v>
      </c>
      <c r="F351" s="177">
        <v>18.134792000000001</v>
      </c>
      <c r="G351" s="177">
        <f t="shared" si="0"/>
        <v>18.186366800000002</v>
      </c>
      <c r="H351" s="177">
        <f t="shared" si="1"/>
        <v>18.134792000000001</v>
      </c>
    </row>
    <row r="352" spans="1:8" x14ac:dyDescent="0.2">
      <c r="A352" s="170" t="s">
        <v>520</v>
      </c>
      <c r="B352" s="177">
        <v>18.321331000000001</v>
      </c>
      <c r="C352" s="177">
        <v>20.352425</v>
      </c>
      <c r="D352" s="177">
        <v>26.545905999999999</v>
      </c>
      <c r="E352" s="177">
        <v>26.811067999999999</v>
      </c>
      <c r="F352" s="177">
        <v>22.316793000000001</v>
      </c>
      <c r="G352" s="177">
        <f t="shared" si="0"/>
        <v>22.869504600000003</v>
      </c>
      <c r="H352" s="177">
        <f t="shared" si="1"/>
        <v>22.316793000000001</v>
      </c>
    </row>
    <row r="353" spans="1:8" x14ac:dyDescent="0.2">
      <c r="A353" s="170" t="s">
        <v>521</v>
      </c>
      <c r="B353" s="177">
        <v>14.755039999999999</v>
      </c>
      <c r="C353" s="177">
        <v>16.547097999999998</v>
      </c>
      <c r="D353" s="177">
        <v>21.608996000000001</v>
      </c>
      <c r="E353" s="177">
        <v>21.142907000000001</v>
      </c>
      <c r="F353" s="177">
        <v>17.300381000000002</v>
      </c>
      <c r="G353" s="177">
        <f t="shared" si="0"/>
        <v>18.270884400000003</v>
      </c>
      <c r="H353" s="177">
        <f t="shared" si="1"/>
        <v>17.300381000000002</v>
      </c>
    </row>
    <row r="354" spans="1:8" x14ac:dyDescent="0.2">
      <c r="A354" s="170" t="s">
        <v>522</v>
      </c>
      <c r="B354" s="177">
        <v>1.88941</v>
      </c>
      <c r="C354" s="177">
        <v>1.8035749999999999</v>
      </c>
      <c r="D354" s="177">
        <v>1.4503729999999999</v>
      </c>
      <c r="E354" s="177">
        <v>1.4522079999999999</v>
      </c>
      <c r="F354" s="177">
        <v>1.4505669999999999</v>
      </c>
      <c r="G354" s="177">
        <f t="shared" si="0"/>
        <v>1.6092266</v>
      </c>
      <c r="H354" s="177">
        <f t="shared" si="1"/>
        <v>1.4522079999999999</v>
      </c>
    </row>
    <row r="355" spans="1:8" x14ac:dyDescent="0.2">
      <c r="A355" s="170" t="s">
        <v>523</v>
      </c>
      <c r="B355" s="177">
        <v>0.568442</v>
      </c>
      <c r="C355" s="177">
        <v>0.52453300000000003</v>
      </c>
      <c r="D355" s="177">
        <v>0.52959299999999998</v>
      </c>
      <c r="E355" s="177">
        <v>0.66100700000000001</v>
      </c>
      <c r="F355" s="177">
        <v>0.62494400000000006</v>
      </c>
      <c r="G355" s="177">
        <f t="shared" si="0"/>
        <v>0.58170379999999999</v>
      </c>
      <c r="H355" s="177">
        <f t="shared" si="1"/>
        <v>0.568442</v>
      </c>
    </row>
    <row r="356" spans="1:8" x14ac:dyDescent="0.2">
      <c r="A356" s="170" t="s">
        <v>524</v>
      </c>
      <c r="B356" s="177">
        <v>2.3460800000000002</v>
      </c>
      <c r="C356" s="177">
        <v>2.218343</v>
      </c>
      <c r="D356" s="177">
        <v>1.781733</v>
      </c>
      <c r="E356" s="177">
        <v>1.8415280000000001</v>
      </c>
      <c r="F356" s="177">
        <v>1.871173</v>
      </c>
      <c r="G356" s="177">
        <f t="shared" si="0"/>
        <v>2.0117713999999998</v>
      </c>
      <c r="H356" s="177">
        <f t="shared" si="1"/>
        <v>1.871173</v>
      </c>
    </row>
    <row r="357" spans="1:8" x14ac:dyDescent="0.2">
      <c r="A357" s="170" t="s">
        <v>525</v>
      </c>
      <c r="B357" s="177">
        <v>0.70583499999999999</v>
      </c>
      <c r="C357" s="177">
        <v>0.64515999999999996</v>
      </c>
      <c r="D357" s="177">
        <v>0.650586</v>
      </c>
      <c r="E357" s="177">
        <v>0.83821500000000004</v>
      </c>
      <c r="F357" s="177">
        <v>0.80615199999999998</v>
      </c>
      <c r="G357" s="177">
        <f t="shared" si="0"/>
        <v>0.72918959999999999</v>
      </c>
      <c r="H357" s="177">
        <f t="shared" si="1"/>
        <v>0.70583499999999999</v>
      </c>
    </row>
    <row r="358" spans="1:8" x14ac:dyDescent="0.2">
      <c r="A358" s="170"/>
      <c r="B358" s="170"/>
      <c r="C358" s="170"/>
      <c r="D358" s="170"/>
      <c r="E358" s="170"/>
      <c r="F358" s="170"/>
      <c r="G358" s="175" t="e">
        <f t="shared" si="0"/>
        <v>#DIV/0!</v>
      </c>
      <c r="H358" s="175" t="e">
        <f t="shared" si="1"/>
        <v>#NUM!</v>
      </c>
    </row>
    <row r="359" spans="1:8" ht="10.5" x14ac:dyDescent="0.2">
      <c r="A359" s="174" t="s">
        <v>526</v>
      </c>
      <c r="B359" s="170"/>
      <c r="C359" s="170"/>
      <c r="D359" s="170"/>
      <c r="E359" s="170"/>
      <c r="F359" s="170"/>
      <c r="G359" s="175" t="e">
        <f t="shared" si="0"/>
        <v>#DIV/0!</v>
      </c>
      <c r="H359" s="175" t="e">
        <f t="shared" si="1"/>
        <v>#NUM!</v>
      </c>
    </row>
    <row r="360" spans="1:8" x14ac:dyDescent="0.2">
      <c r="A360" s="170" t="s">
        <v>527</v>
      </c>
      <c r="B360" s="178">
        <v>514917.02936099999</v>
      </c>
      <c r="C360" s="178">
        <v>548380.33393600001</v>
      </c>
      <c r="D360" s="178">
        <v>683865.52370000002</v>
      </c>
      <c r="E360" s="178">
        <v>578842.08555199997</v>
      </c>
      <c r="F360" s="178">
        <v>977480.72190200002</v>
      </c>
      <c r="G360" s="175">
        <f>AVERAGE(B360:F360)</f>
        <v>660697.13889019995</v>
      </c>
      <c r="H360" s="175">
        <f>MEDIAN(B360:F360)</f>
        <v>578842.08555199997</v>
      </c>
    </row>
    <row r="362" spans="1:8" ht="17" x14ac:dyDescent="0.35">
      <c r="A362" s="165" t="s">
        <v>528</v>
      </c>
      <c r="B362" s="166"/>
      <c r="C362" s="166"/>
      <c r="D362" s="166"/>
      <c r="E362" s="166"/>
      <c r="F362" s="166"/>
    </row>
    <row r="363" spans="1:8" x14ac:dyDescent="0.2">
      <c r="A363" s="166"/>
      <c r="B363" s="166"/>
      <c r="C363" s="166"/>
      <c r="D363" s="166"/>
      <c r="E363" s="166"/>
      <c r="F363" s="166"/>
    </row>
    <row r="364" spans="1:8" ht="20.5" x14ac:dyDescent="0.25">
      <c r="A364" s="179" t="s">
        <v>529</v>
      </c>
      <c r="B364" s="169" t="s">
        <v>12</v>
      </c>
      <c r="C364" s="166" t="s">
        <v>13</v>
      </c>
      <c r="D364" s="170" t="s">
        <v>14</v>
      </c>
      <c r="E364" s="169" t="s">
        <v>19</v>
      </c>
      <c r="F364" s="166" t="s">
        <v>20</v>
      </c>
    </row>
    <row r="365" spans="1:8" ht="10.5" x14ac:dyDescent="0.25">
      <c r="A365" s="170"/>
      <c r="B365" s="169" t="s">
        <v>17</v>
      </c>
      <c r="C365" s="166" t="s">
        <v>18</v>
      </c>
      <c r="D365" s="170" t="s">
        <v>14</v>
      </c>
      <c r="E365" s="169" t="s">
        <v>27</v>
      </c>
      <c r="F365" s="180">
        <v>1</v>
      </c>
    </row>
    <row r="366" spans="1:8" ht="10.5" x14ac:dyDescent="0.25">
      <c r="A366" s="170"/>
      <c r="B366" s="169" t="s">
        <v>21</v>
      </c>
      <c r="C366" s="166" t="s">
        <v>530</v>
      </c>
      <c r="D366" s="170" t="s">
        <v>14</v>
      </c>
      <c r="E366" s="169" t="s">
        <v>23</v>
      </c>
      <c r="F366" s="166" t="s">
        <v>24</v>
      </c>
    </row>
    <row r="367" spans="1:8" x14ac:dyDescent="0.2">
      <c r="A367" s="166"/>
      <c r="B367" s="166"/>
      <c r="C367" s="166"/>
      <c r="D367" s="166"/>
      <c r="E367" s="166"/>
      <c r="F367" s="166"/>
    </row>
    <row r="368" spans="1:8" x14ac:dyDescent="0.2">
      <c r="A368" s="166"/>
      <c r="B368" s="166"/>
      <c r="C368" s="166"/>
      <c r="D368" s="166"/>
      <c r="E368" s="166"/>
      <c r="F368" s="166"/>
    </row>
    <row r="369" spans="1:7" x14ac:dyDescent="0.2">
      <c r="A369" s="167" t="s">
        <v>31</v>
      </c>
      <c r="B369" s="167"/>
      <c r="C369" s="167"/>
      <c r="D369" s="167"/>
      <c r="E369" s="167"/>
      <c r="F369" s="167"/>
    </row>
    <row r="370" spans="1:7" ht="21" x14ac:dyDescent="0.25">
      <c r="A370" s="172" t="s">
        <v>465</v>
      </c>
      <c r="B370" s="173" t="s">
        <v>466</v>
      </c>
      <c r="C370" s="173" t="s">
        <v>467</v>
      </c>
      <c r="D370" s="173" t="s">
        <v>468</v>
      </c>
      <c r="E370" s="173" t="s">
        <v>469</v>
      </c>
      <c r="F370" s="173" t="s">
        <v>470</v>
      </c>
    </row>
    <row r="371" spans="1:7" x14ac:dyDescent="0.2">
      <c r="A371" s="181" t="s">
        <v>39</v>
      </c>
      <c r="B371" s="182" t="s">
        <v>40</v>
      </c>
      <c r="C371" s="182" t="s">
        <v>40</v>
      </c>
      <c r="D371" s="182" t="s">
        <v>40</v>
      </c>
      <c r="E371" s="182" t="s">
        <v>40</v>
      </c>
      <c r="F371" s="182" t="s">
        <v>40</v>
      </c>
      <c r="G371" s="14" t="s">
        <v>257</v>
      </c>
    </row>
    <row r="372" spans="1:7" ht="10.5" x14ac:dyDescent="0.2">
      <c r="A372" s="174" t="s">
        <v>41</v>
      </c>
      <c r="B372" s="170"/>
      <c r="C372" s="170"/>
      <c r="D372" s="170"/>
      <c r="E372" s="170"/>
      <c r="F372" s="170"/>
    </row>
    <row r="373" spans="1:7" ht="10.5" x14ac:dyDescent="0.2">
      <c r="A373" s="174" t="s">
        <v>531</v>
      </c>
      <c r="B373" s="183">
        <v>315.97206</v>
      </c>
      <c r="C373" s="183">
        <v>339.96978999999999</v>
      </c>
      <c r="D373" s="183">
        <v>397.32911899999999</v>
      </c>
      <c r="E373" s="183">
        <v>426.48696699999999</v>
      </c>
      <c r="F373" s="183">
        <v>451.91380500000002</v>
      </c>
      <c r="G373" s="187">
        <f>AVERAGE(B373:F373)</f>
        <v>386.33434820000002</v>
      </c>
    </row>
    <row r="374" spans="1:7" x14ac:dyDescent="0.2">
      <c r="A374" s="170" t="s">
        <v>45</v>
      </c>
      <c r="B374" s="178">
        <v>165.84151299999999</v>
      </c>
      <c r="C374" s="178">
        <v>176.531068</v>
      </c>
      <c r="D374" s="178">
        <v>194.631787</v>
      </c>
      <c r="E374" s="178">
        <v>212.005347</v>
      </c>
      <c r="F374" s="178">
        <v>215.271445</v>
      </c>
      <c r="G374" s="187">
        <f t="shared" ref="G374:G437" si="2">AVERAGE(B374:F374)</f>
        <v>192.85623200000001</v>
      </c>
    </row>
    <row r="375" spans="1:7" x14ac:dyDescent="0.2">
      <c r="A375" s="170" t="s">
        <v>47</v>
      </c>
      <c r="B375" s="178">
        <v>50.187356000000001</v>
      </c>
      <c r="C375" s="178">
        <v>52.923558999999997</v>
      </c>
      <c r="D375" s="178">
        <v>58.442998000000003</v>
      </c>
      <c r="E375" s="178">
        <v>63.653972000000003</v>
      </c>
      <c r="F375" s="178">
        <v>62.206916999999997</v>
      </c>
      <c r="G375" s="187">
        <f t="shared" si="2"/>
        <v>57.482960400000003</v>
      </c>
    </row>
    <row r="376" spans="1:7" x14ac:dyDescent="0.2">
      <c r="A376" s="170" t="s">
        <v>48</v>
      </c>
      <c r="B376" s="178">
        <v>30.057542999999999</v>
      </c>
      <c r="C376" s="178">
        <v>33.262369</v>
      </c>
      <c r="D376" s="178">
        <v>38.411507</v>
      </c>
      <c r="E376" s="178">
        <v>44.689191000000001</v>
      </c>
      <c r="F376" s="178">
        <v>52.145249</v>
      </c>
      <c r="G376" s="187">
        <f t="shared" si="2"/>
        <v>39.713171800000005</v>
      </c>
    </row>
    <row r="377" spans="1:7" x14ac:dyDescent="0.2">
      <c r="A377" s="170" t="s">
        <v>532</v>
      </c>
      <c r="B377" s="178">
        <v>73.171921999999995</v>
      </c>
      <c r="C377" s="178">
        <v>79.882281000000006</v>
      </c>
      <c r="D377" s="178">
        <v>107.328964</v>
      </c>
      <c r="E377" s="178">
        <v>109.238534</v>
      </c>
      <c r="F377" s="178">
        <v>118.372827</v>
      </c>
      <c r="G377" s="187">
        <f t="shared" si="2"/>
        <v>97.598905600000009</v>
      </c>
    </row>
    <row r="378" spans="1:7" x14ac:dyDescent="0.2">
      <c r="A378" s="170"/>
      <c r="B378" s="170"/>
      <c r="C378" s="170"/>
      <c r="D378" s="170"/>
      <c r="E378" s="170"/>
      <c r="F378" s="170"/>
      <c r="G378" s="187" t="e">
        <f t="shared" si="2"/>
        <v>#DIV/0!</v>
      </c>
    </row>
    <row r="379" spans="1:7" x14ac:dyDescent="0.2">
      <c r="A379" s="170" t="s">
        <v>53</v>
      </c>
      <c r="B379" s="178">
        <v>-5.2</v>
      </c>
      <c r="C379" s="178">
        <v>-5.0999999999999996</v>
      </c>
      <c r="D379" s="178">
        <v>-5</v>
      </c>
      <c r="E379" s="178">
        <v>-5.0999999999999996</v>
      </c>
      <c r="F379" s="178">
        <v>-6.5</v>
      </c>
      <c r="G379" s="187">
        <f t="shared" si="2"/>
        <v>-5.38</v>
      </c>
    </row>
    <row r="380" spans="1:7" x14ac:dyDescent="0.2">
      <c r="A380" s="170" t="s">
        <v>533</v>
      </c>
      <c r="B380" s="178">
        <v>71.225284000000002</v>
      </c>
      <c r="C380" s="178">
        <v>76.785253999999995</v>
      </c>
      <c r="D380" s="178">
        <v>104.268179</v>
      </c>
      <c r="E380" s="178">
        <v>106.307363</v>
      </c>
      <c r="F380" s="178">
        <v>116.873677</v>
      </c>
      <c r="G380" s="187">
        <f t="shared" si="2"/>
        <v>95.091951399999999</v>
      </c>
    </row>
    <row r="381" spans="1:7" x14ac:dyDescent="0.2">
      <c r="A381" s="170"/>
      <c r="B381" s="170"/>
      <c r="C381" s="170"/>
      <c r="D381" s="170"/>
      <c r="E381" s="170"/>
      <c r="F381" s="170"/>
      <c r="G381" s="187" t="e">
        <f t="shared" si="2"/>
        <v>#DIV/0!</v>
      </c>
    </row>
    <row r="382" spans="1:7" x14ac:dyDescent="0.2">
      <c r="A382" s="170" t="s">
        <v>61</v>
      </c>
      <c r="B382" s="178">
        <v>9.8459719999999997</v>
      </c>
      <c r="C382" s="178">
        <v>9.6233799999999992</v>
      </c>
      <c r="D382" s="178">
        <v>12.830862</v>
      </c>
      <c r="E382" s="178">
        <v>16.449759</v>
      </c>
      <c r="F382" s="178">
        <v>16.031455999999999</v>
      </c>
      <c r="G382" s="187">
        <f t="shared" si="2"/>
        <v>12.9562858</v>
      </c>
    </row>
    <row r="383" spans="1:7" x14ac:dyDescent="0.2">
      <c r="A383" s="170" t="s">
        <v>534</v>
      </c>
      <c r="B383" s="178">
        <v>59.484954999999999</v>
      </c>
      <c r="C383" s="178">
        <v>65.067756000000003</v>
      </c>
      <c r="D383" s="178">
        <v>92.048073000000002</v>
      </c>
      <c r="E383" s="178">
        <v>81.692725999999993</v>
      </c>
      <c r="F383" s="178">
        <v>97.599866000000006</v>
      </c>
      <c r="G383" s="187">
        <f t="shared" si="2"/>
        <v>79.178675200000001</v>
      </c>
    </row>
    <row r="384" spans="1:7" x14ac:dyDescent="0.2">
      <c r="A384" s="170"/>
      <c r="B384" s="170"/>
      <c r="C384" s="170"/>
      <c r="D384" s="170"/>
      <c r="E384" s="170"/>
      <c r="F384" s="170"/>
      <c r="G384" s="187" t="e">
        <f t="shared" si="2"/>
        <v>#DIV/0!</v>
      </c>
    </row>
    <row r="385" spans="1:7" ht="10.5" x14ac:dyDescent="0.2">
      <c r="A385" s="174" t="s">
        <v>41</v>
      </c>
      <c r="B385" s="170"/>
      <c r="C385" s="170"/>
      <c r="D385" s="170"/>
      <c r="E385" s="170"/>
      <c r="F385" s="170"/>
      <c r="G385" s="187" t="e">
        <f t="shared" si="2"/>
        <v>#DIV/0!</v>
      </c>
    </row>
    <row r="386" spans="1:7" ht="10.5" x14ac:dyDescent="0.2">
      <c r="A386" s="174" t="s">
        <v>5</v>
      </c>
      <c r="B386" s="184">
        <v>60.255774000000002</v>
      </c>
      <c r="C386" s="184">
        <v>65.046406000000005</v>
      </c>
      <c r="D386" s="184">
        <v>92.248284999999996</v>
      </c>
      <c r="E386" s="184">
        <v>82.471860000000007</v>
      </c>
      <c r="F386" s="184">
        <v>97.520760999999993</v>
      </c>
      <c r="G386" s="187">
        <f t="shared" si="2"/>
        <v>79.508617200000003</v>
      </c>
    </row>
    <row r="387" spans="1:7" x14ac:dyDescent="0.2">
      <c r="A387" s="170"/>
      <c r="B387" s="170"/>
      <c r="C387" s="170"/>
      <c r="D387" s="170"/>
      <c r="E387" s="170"/>
      <c r="F387" s="170"/>
      <c r="G387" s="187" t="e">
        <f t="shared" si="2"/>
        <v>#DIV/0!</v>
      </c>
    </row>
    <row r="388" spans="1:7" x14ac:dyDescent="0.2">
      <c r="A388" s="170" t="s">
        <v>535</v>
      </c>
      <c r="B388" s="178">
        <v>59.273881000000003</v>
      </c>
      <c r="C388" s="178">
        <v>64.848607000000001</v>
      </c>
      <c r="D388" s="178">
        <v>91.642988000000003</v>
      </c>
      <c r="E388" s="178">
        <v>81.479986999999994</v>
      </c>
      <c r="F388" s="178">
        <v>97.512114999999994</v>
      </c>
      <c r="G388" s="187">
        <f t="shared" si="2"/>
        <v>78.951515599999993</v>
      </c>
    </row>
    <row r="389" spans="1:7" x14ac:dyDescent="0.2">
      <c r="A389" s="170"/>
      <c r="B389" s="170"/>
      <c r="C389" s="170"/>
      <c r="D389" s="170"/>
      <c r="E389" s="170"/>
      <c r="F389" s="170"/>
      <c r="G389" s="187" t="e">
        <f t="shared" si="2"/>
        <v>#DIV/0!</v>
      </c>
    </row>
    <row r="390" spans="1:7" ht="10.5" x14ac:dyDescent="0.2">
      <c r="A390" s="174" t="s">
        <v>71</v>
      </c>
      <c r="B390" s="170"/>
      <c r="C390" s="170"/>
      <c r="D390" s="170"/>
      <c r="E390" s="170"/>
      <c r="F390" s="170"/>
      <c r="G390" s="187" t="e">
        <f t="shared" si="2"/>
        <v>#DIV/0!</v>
      </c>
    </row>
    <row r="391" spans="1:7" x14ac:dyDescent="0.2">
      <c r="A391" s="170" t="s">
        <v>73</v>
      </c>
      <c r="B391" s="178">
        <v>60.090363000000004</v>
      </c>
      <c r="C391" s="178">
        <v>65.678032000000002</v>
      </c>
      <c r="D391" s="178">
        <v>92.812579999999997</v>
      </c>
      <c r="E391" s="178">
        <v>82.251565999999997</v>
      </c>
      <c r="F391" s="178">
        <v>98.416120000000006</v>
      </c>
      <c r="G391" s="187">
        <f t="shared" si="2"/>
        <v>79.849732199999991</v>
      </c>
    </row>
    <row r="392" spans="1:7" x14ac:dyDescent="0.2">
      <c r="A392" s="170" t="s">
        <v>76</v>
      </c>
      <c r="B392" s="178">
        <v>59.385393999999998</v>
      </c>
      <c r="C392" s="178">
        <v>64.933879000000005</v>
      </c>
      <c r="D392" s="178">
        <v>91.695614000000006</v>
      </c>
      <c r="E392" s="178">
        <v>81.515230000000003</v>
      </c>
      <c r="F392" s="178">
        <v>97.518298000000001</v>
      </c>
      <c r="G392" s="187">
        <f t="shared" si="2"/>
        <v>79.00968300000001</v>
      </c>
    </row>
    <row r="393" spans="1:7" x14ac:dyDescent="0.2">
      <c r="A393" s="170" t="s">
        <v>79</v>
      </c>
      <c r="B393" s="178">
        <v>44.452857999999999</v>
      </c>
      <c r="C393" s="178">
        <v>47.953884000000002</v>
      </c>
      <c r="D393" s="178">
        <v>65.101304999999996</v>
      </c>
      <c r="E393" s="178">
        <v>66.352795999999998</v>
      </c>
      <c r="F393" s="178">
        <v>72.981862000000007</v>
      </c>
      <c r="G393" s="187">
        <f t="shared" si="2"/>
        <v>59.368541000000008</v>
      </c>
    </row>
    <row r="394" spans="1:7" x14ac:dyDescent="0.2">
      <c r="A394" s="170"/>
      <c r="B394" s="170"/>
      <c r="C394" s="170"/>
      <c r="D394" s="170"/>
      <c r="E394" s="170"/>
      <c r="F394" s="170"/>
      <c r="G394" s="187" t="e">
        <f t="shared" si="2"/>
        <v>#DIV/0!</v>
      </c>
    </row>
    <row r="395" spans="1:7" x14ac:dyDescent="0.2">
      <c r="A395" s="170" t="s">
        <v>80</v>
      </c>
      <c r="B395" s="185">
        <v>20.3</v>
      </c>
      <c r="C395" s="185">
        <v>21.5</v>
      </c>
      <c r="D395" s="185">
        <v>22.7</v>
      </c>
      <c r="E395" s="185">
        <v>24.7</v>
      </c>
      <c r="F395" s="185">
        <v>26.1</v>
      </c>
      <c r="G395" s="187">
        <f t="shared" si="2"/>
        <v>23.060000000000002</v>
      </c>
    </row>
    <row r="396" spans="1:7" ht="10.5" x14ac:dyDescent="0.25">
      <c r="A396" s="26" t="s">
        <v>542</v>
      </c>
      <c r="B396" s="170"/>
      <c r="C396" s="170"/>
      <c r="D396" s="170"/>
      <c r="E396" s="170"/>
      <c r="F396" s="170"/>
      <c r="G396" s="188">
        <f>G395/G393</f>
        <v>0.38842120105326489</v>
      </c>
    </row>
    <row r="397" spans="1:7" ht="10.5" x14ac:dyDescent="0.2">
      <c r="A397" s="174" t="s">
        <v>83</v>
      </c>
      <c r="B397" s="170"/>
      <c r="C397" s="170"/>
      <c r="D397" s="170"/>
      <c r="E397" s="170"/>
      <c r="F397" s="170"/>
      <c r="G397" s="187" t="e">
        <f t="shared" si="2"/>
        <v>#DIV/0!</v>
      </c>
    </row>
    <row r="398" spans="1:7" x14ac:dyDescent="0.2">
      <c r="A398" s="170" t="s">
        <v>3</v>
      </c>
      <c r="B398" s="178">
        <v>95.264820999999998</v>
      </c>
      <c r="C398" s="178">
        <v>103.81209800000001</v>
      </c>
      <c r="D398" s="178">
        <v>131.91040599999999</v>
      </c>
      <c r="E398" s="178">
        <v>136.44826399999999</v>
      </c>
      <c r="F398" s="178">
        <v>145.67036999999999</v>
      </c>
      <c r="G398" s="187">
        <f t="shared" si="2"/>
        <v>122.62119179999999</v>
      </c>
    </row>
    <row r="399" spans="1:7" x14ac:dyDescent="0.2">
      <c r="A399" s="170" t="s">
        <v>84</v>
      </c>
      <c r="B399" s="178">
        <v>79.572170999999997</v>
      </c>
      <c r="C399" s="178">
        <v>87.732747000000003</v>
      </c>
      <c r="D399" s="178">
        <v>115.374782</v>
      </c>
      <c r="E399" s="178">
        <v>118.72990299999999</v>
      </c>
      <c r="F399" s="178">
        <v>126.638283</v>
      </c>
      <c r="G399" s="187">
        <f t="shared" si="2"/>
        <v>105.60957719999999</v>
      </c>
    </row>
    <row r="400" spans="1:7" x14ac:dyDescent="0.2">
      <c r="A400" s="170" t="s">
        <v>85</v>
      </c>
      <c r="B400" s="178">
        <v>73.171921999999995</v>
      </c>
      <c r="C400" s="178">
        <v>79.882281000000006</v>
      </c>
      <c r="D400" s="178">
        <v>107.328964</v>
      </c>
      <c r="E400" s="178">
        <v>109.238534</v>
      </c>
      <c r="F400" s="178">
        <v>118.372827</v>
      </c>
      <c r="G400" s="187">
        <f t="shared" si="2"/>
        <v>97.598905600000009</v>
      </c>
    </row>
    <row r="401" spans="1:7" x14ac:dyDescent="0.2">
      <c r="A401" s="170"/>
      <c r="B401" s="170"/>
      <c r="C401" s="170"/>
      <c r="D401" s="170"/>
      <c r="E401" s="170"/>
      <c r="F401" s="170"/>
      <c r="G401" s="187" t="e">
        <f t="shared" si="2"/>
        <v>#DIV/0!</v>
      </c>
    </row>
    <row r="402" spans="1:7" ht="10.5" x14ac:dyDescent="0.2">
      <c r="A402" s="174" t="s">
        <v>41</v>
      </c>
      <c r="B402" s="170"/>
      <c r="C402" s="170"/>
      <c r="D402" s="170"/>
      <c r="E402" s="170"/>
      <c r="F402" s="170"/>
      <c r="G402" s="187" t="e">
        <f t="shared" si="2"/>
        <v>#DIV/0!</v>
      </c>
    </row>
    <row r="403" spans="1:7" x14ac:dyDescent="0.2">
      <c r="A403" s="170" t="s">
        <v>95</v>
      </c>
      <c r="B403" s="178">
        <v>44.452868000000002</v>
      </c>
      <c r="C403" s="178">
        <v>47.953890999999999</v>
      </c>
      <c r="D403" s="178">
        <v>65.101314000000002</v>
      </c>
      <c r="E403" s="178">
        <v>66.352801999999997</v>
      </c>
      <c r="F403" s="178">
        <v>72.981869000000003</v>
      </c>
      <c r="G403" s="187">
        <f t="shared" si="2"/>
        <v>59.368548799999999</v>
      </c>
    </row>
    <row r="404" spans="1:7" x14ac:dyDescent="0.2">
      <c r="G404" s="187" t="e">
        <f t="shared" si="2"/>
        <v>#DIV/0!</v>
      </c>
    </row>
    <row r="405" spans="1:7" ht="17" x14ac:dyDescent="0.35">
      <c r="A405" s="165" t="s">
        <v>536</v>
      </c>
      <c r="B405" s="166"/>
      <c r="C405" s="166"/>
      <c r="D405" s="166"/>
      <c r="E405" s="166"/>
      <c r="F405" s="166"/>
      <c r="G405" s="187" t="e">
        <f t="shared" si="2"/>
        <v>#DIV/0!</v>
      </c>
    </row>
    <row r="406" spans="1:7" x14ac:dyDescent="0.2">
      <c r="A406" s="166"/>
      <c r="B406" s="166"/>
      <c r="C406" s="166"/>
      <c r="D406" s="166"/>
      <c r="E406" s="166"/>
      <c r="F406" s="166"/>
      <c r="G406" s="187" t="e">
        <f t="shared" si="2"/>
        <v>#DIV/0!</v>
      </c>
    </row>
    <row r="407" spans="1:7" ht="20.5" x14ac:dyDescent="0.25">
      <c r="A407" s="179" t="s">
        <v>529</v>
      </c>
      <c r="B407" s="169" t="s">
        <v>12</v>
      </c>
      <c r="C407" s="166" t="s">
        <v>13</v>
      </c>
      <c r="D407" s="170" t="s">
        <v>14</v>
      </c>
      <c r="E407" s="169" t="s">
        <v>19</v>
      </c>
      <c r="F407" s="166" t="s">
        <v>20</v>
      </c>
      <c r="G407" s="187" t="e">
        <f t="shared" si="2"/>
        <v>#DIV/0!</v>
      </c>
    </row>
    <row r="408" spans="1:7" ht="10.5" x14ac:dyDescent="0.25">
      <c r="A408" s="170"/>
      <c r="B408" s="169" t="s">
        <v>17</v>
      </c>
      <c r="C408" s="166" t="s">
        <v>18</v>
      </c>
      <c r="D408" s="170" t="s">
        <v>14</v>
      </c>
      <c r="E408" s="169" t="s">
        <v>27</v>
      </c>
      <c r="F408" s="180">
        <v>1</v>
      </c>
      <c r="G408" s="187">
        <f t="shared" si="2"/>
        <v>1</v>
      </c>
    </row>
    <row r="409" spans="1:7" ht="10.5" x14ac:dyDescent="0.25">
      <c r="A409" s="170"/>
      <c r="B409" s="169" t="s">
        <v>21</v>
      </c>
      <c r="C409" s="166" t="s">
        <v>530</v>
      </c>
      <c r="D409" s="170" t="s">
        <v>14</v>
      </c>
      <c r="E409" s="169" t="s">
        <v>23</v>
      </c>
      <c r="F409" s="166" t="s">
        <v>24</v>
      </c>
      <c r="G409" s="187" t="e">
        <f t="shared" si="2"/>
        <v>#DIV/0!</v>
      </c>
    </row>
    <row r="410" spans="1:7" x14ac:dyDescent="0.2">
      <c r="A410" s="166"/>
      <c r="B410" s="166"/>
      <c r="C410" s="166"/>
      <c r="D410" s="166"/>
      <c r="E410" s="166"/>
      <c r="F410" s="166"/>
      <c r="G410" s="187" t="e">
        <f t="shared" si="2"/>
        <v>#DIV/0!</v>
      </c>
    </row>
    <row r="411" spans="1:7" x14ac:dyDescent="0.2">
      <c r="A411" s="166"/>
      <c r="B411" s="166"/>
      <c r="C411" s="166"/>
      <c r="D411" s="166"/>
      <c r="E411" s="166"/>
      <c r="F411" s="166"/>
      <c r="G411" s="187" t="e">
        <f t="shared" si="2"/>
        <v>#DIV/0!</v>
      </c>
    </row>
    <row r="412" spans="1:7" x14ac:dyDescent="0.2">
      <c r="A412" s="167" t="s">
        <v>150</v>
      </c>
      <c r="B412" s="167"/>
      <c r="C412" s="167"/>
      <c r="D412" s="167"/>
      <c r="E412" s="167"/>
      <c r="F412" s="167"/>
      <c r="G412" s="187" t="e">
        <f t="shared" si="2"/>
        <v>#DIV/0!</v>
      </c>
    </row>
    <row r="413" spans="1:7" ht="21" x14ac:dyDescent="0.25">
      <c r="A413" s="172" t="s">
        <v>465</v>
      </c>
      <c r="B413" s="173" t="s">
        <v>466</v>
      </c>
      <c r="C413" s="173" t="s">
        <v>467</v>
      </c>
      <c r="D413" s="173" t="s">
        <v>468</v>
      </c>
      <c r="E413" s="173" t="s">
        <v>469</v>
      </c>
      <c r="F413" s="173" t="s">
        <v>470</v>
      </c>
      <c r="G413" s="187" t="e">
        <f t="shared" si="2"/>
        <v>#DIV/0!</v>
      </c>
    </row>
    <row r="414" spans="1:7" x14ac:dyDescent="0.2">
      <c r="A414" s="181" t="s">
        <v>39</v>
      </c>
      <c r="B414" s="182" t="s">
        <v>40</v>
      </c>
      <c r="C414" s="182" t="s">
        <v>40</v>
      </c>
      <c r="D414" s="182" t="s">
        <v>40</v>
      </c>
      <c r="E414" s="182" t="s">
        <v>40</v>
      </c>
      <c r="F414" s="182" t="s">
        <v>40</v>
      </c>
      <c r="G414" s="187" t="e">
        <f t="shared" si="2"/>
        <v>#DIV/0!</v>
      </c>
    </row>
    <row r="415" spans="1:7" ht="10.5" x14ac:dyDescent="0.2">
      <c r="A415" s="174" t="s">
        <v>152</v>
      </c>
      <c r="B415" s="170"/>
      <c r="C415" s="170"/>
      <c r="D415" s="170"/>
      <c r="E415" s="170"/>
      <c r="F415" s="170"/>
      <c r="G415" s="187" t="e">
        <f t="shared" si="2"/>
        <v>#DIV/0!</v>
      </c>
    </row>
    <row r="416" spans="1:7" x14ac:dyDescent="0.2">
      <c r="A416" s="170" t="s">
        <v>153</v>
      </c>
      <c r="B416" s="178">
        <v>61.246581999999997</v>
      </c>
      <c r="C416" s="178">
        <v>66.004007999999999</v>
      </c>
      <c r="D416" s="178">
        <v>61.354768</v>
      </c>
      <c r="E416" s="178">
        <v>57.383774000000003</v>
      </c>
      <c r="F416" s="178">
        <v>67.674611999999996</v>
      </c>
      <c r="G416" s="187">
        <f t="shared" si="2"/>
        <v>62.732748799999989</v>
      </c>
    </row>
    <row r="417" spans="1:7" x14ac:dyDescent="0.2">
      <c r="A417" s="170" t="s">
        <v>154</v>
      </c>
      <c r="B417" s="178">
        <v>62.529285000000002</v>
      </c>
      <c r="C417" s="178">
        <v>62.609467000000002</v>
      </c>
      <c r="D417" s="178">
        <v>60.100000999999999</v>
      </c>
      <c r="E417" s="178">
        <v>50.563614000000001</v>
      </c>
      <c r="F417" s="178">
        <v>52.582487</v>
      </c>
      <c r="G417" s="187">
        <f t="shared" si="2"/>
        <v>57.676970800000007</v>
      </c>
    </row>
    <row r="418" spans="1:7" x14ac:dyDescent="0.2">
      <c r="A418" s="170" t="s">
        <v>156</v>
      </c>
      <c r="B418" s="178">
        <v>46.075754000000003</v>
      </c>
      <c r="C418" s="178">
        <v>49.838292000000003</v>
      </c>
      <c r="D418" s="178">
        <v>58.512524999999997</v>
      </c>
      <c r="E418" s="178">
        <v>59.089917</v>
      </c>
      <c r="F418" s="178">
        <v>63.297151999999997</v>
      </c>
      <c r="G418" s="187">
        <f t="shared" si="2"/>
        <v>55.362728000000004</v>
      </c>
    </row>
    <row r="419" spans="1:7" x14ac:dyDescent="0.2">
      <c r="A419" s="170" t="s">
        <v>157</v>
      </c>
      <c r="B419" s="178">
        <v>6.4519260000000003</v>
      </c>
      <c r="C419" s="178">
        <v>9.7356010000000008</v>
      </c>
      <c r="D419" s="178">
        <v>10.610721</v>
      </c>
      <c r="E419" s="178">
        <v>8.9239499999999996</v>
      </c>
      <c r="F419" s="178">
        <v>11.966187</v>
      </c>
      <c r="G419" s="187">
        <f t="shared" si="2"/>
        <v>9.5376769999999986</v>
      </c>
    </row>
    <row r="420" spans="1:7" x14ac:dyDescent="0.2">
      <c r="A420" s="170" t="s">
        <v>159</v>
      </c>
      <c r="B420" s="178">
        <v>15.561271</v>
      </c>
      <c r="C420" s="178">
        <v>18.400091</v>
      </c>
      <c r="D420" s="178">
        <v>22.862397999999999</v>
      </c>
      <c r="E420" s="178">
        <v>29.344161</v>
      </c>
      <c r="F420" s="178">
        <v>33.581063</v>
      </c>
      <c r="G420" s="187">
        <f t="shared" si="2"/>
        <v>23.949796800000001</v>
      </c>
    </row>
    <row r="421" spans="1:7" ht="10.5" x14ac:dyDescent="0.2">
      <c r="A421" s="174" t="s">
        <v>233</v>
      </c>
      <c r="B421" s="183">
        <v>240.401332</v>
      </c>
      <c r="C421" s="183">
        <v>259.90051499999998</v>
      </c>
      <c r="D421" s="183">
        <v>270.109532</v>
      </c>
      <c r="E421" s="183">
        <v>267.85221999999999</v>
      </c>
      <c r="F421" s="183">
        <v>258.89663999999999</v>
      </c>
      <c r="G421" s="187">
        <f t="shared" si="2"/>
        <v>259.43204779999996</v>
      </c>
    </row>
    <row r="422" spans="1:7" x14ac:dyDescent="0.2">
      <c r="A422" s="170"/>
      <c r="B422" s="170"/>
      <c r="C422" s="170"/>
      <c r="D422" s="170"/>
      <c r="E422" s="170"/>
      <c r="F422" s="170"/>
      <c r="G422" s="187" t="e">
        <f t="shared" si="2"/>
        <v>#DIV/0!</v>
      </c>
    </row>
    <row r="423" spans="1:7" x14ac:dyDescent="0.2">
      <c r="A423" s="170" t="s">
        <v>237</v>
      </c>
      <c r="B423" s="178">
        <v>79.745863</v>
      </c>
      <c r="C423" s="178">
        <v>83.237837999999996</v>
      </c>
      <c r="D423" s="178">
        <v>90.407938000000001</v>
      </c>
      <c r="E423" s="178">
        <v>107.64527099999999</v>
      </c>
      <c r="F423" s="178">
        <v>132.53503699999999</v>
      </c>
      <c r="G423" s="187">
        <f t="shared" si="2"/>
        <v>98.714389399999988</v>
      </c>
    </row>
    <row r="424" spans="1:7" x14ac:dyDescent="0.2">
      <c r="A424" s="170"/>
      <c r="B424" s="170"/>
      <c r="C424" s="170"/>
      <c r="D424" s="170"/>
      <c r="E424" s="170"/>
      <c r="F424" s="170"/>
      <c r="G424" s="187" t="e">
        <f t="shared" si="2"/>
        <v>#DIV/0!</v>
      </c>
    </row>
    <row r="425" spans="1:7" ht="10.5" x14ac:dyDescent="0.2">
      <c r="A425" s="174" t="s">
        <v>168</v>
      </c>
      <c r="B425" s="183">
        <v>593.45494299999996</v>
      </c>
      <c r="C425" s="183">
        <v>636.26176999999996</v>
      </c>
      <c r="D425" s="183">
        <v>696.395713</v>
      </c>
      <c r="E425" s="183">
        <v>737.11903500000005</v>
      </c>
      <c r="F425" s="183">
        <v>779.26052000000004</v>
      </c>
      <c r="G425" s="187">
        <f t="shared" si="2"/>
        <v>688.4983962</v>
      </c>
    </row>
    <row r="426" spans="1:7" x14ac:dyDescent="0.2">
      <c r="A426" s="170"/>
      <c r="B426" s="170"/>
      <c r="C426" s="170"/>
      <c r="D426" s="170"/>
      <c r="E426" s="170"/>
      <c r="F426" s="170"/>
      <c r="G426" s="187" t="e">
        <f t="shared" si="2"/>
        <v>#DIV/0!</v>
      </c>
    </row>
    <row r="427" spans="1:7" ht="10.5" x14ac:dyDescent="0.2">
      <c r="A427" s="174" t="s">
        <v>169</v>
      </c>
      <c r="B427" s="170"/>
      <c r="C427" s="170"/>
      <c r="D427" s="170"/>
      <c r="E427" s="170"/>
      <c r="F427" s="170"/>
      <c r="G427" s="187" t="e">
        <f t="shared" si="2"/>
        <v>#DIV/0!</v>
      </c>
    </row>
    <row r="428" spans="1:7" x14ac:dyDescent="0.2">
      <c r="A428" s="170" t="s">
        <v>170</v>
      </c>
      <c r="B428" s="178">
        <v>30.223058999999999</v>
      </c>
      <c r="C428" s="178">
        <v>37.862302999999997</v>
      </c>
      <c r="D428" s="178">
        <v>44.480826</v>
      </c>
      <c r="E428" s="178">
        <v>40.330385999999997</v>
      </c>
      <c r="F428" s="178">
        <v>45.064825999999996</v>
      </c>
      <c r="G428" s="187">
        <f t="shared" si="2"/>
        <v>39.592280000000002</v>
      </c>
    </row>
    <row r="429" spans="1:7" ht="10.5" x14ac:dyDescent="0.2">
      <c r="A429" s="174" t="s">
        <v>343</v>
      </c>
      <c r="B429" s="183">
        <v>152.82951700000001</v>
      </c>
      <c r="C429" s="183">
        <v>171.03772900000001</v>
      </c>
      <c r="D429" s="183">
        <v>188.905698</v>
      </c>
      <c r="E429" s="183">
        <v>199.168734</v>
      </c>
      <c r="F429" s="183">
        <v>190.59333000000001</v>
      </c>
      <c r="G429" s="187">
        <f t="shared" si="2"/>
        <v>180.50700160000002</v>
      </c>
    </row>
    <row r="430" spans="1:7" x14ac:dyDescent="0.2">
      <c r="A430" s="170"/>
      <c r="B430" s="170"/>
      <c r="C430" s="170"/>
      <c r="D430" s="170"/>
      <c r="E430" s="170"/>
      <c r="F430" s="170"/>
      <c r="G430" s="187" t="e">
        <f t="shared" si="2"/>
        <v>#DIV/0!</v>
      </c>
    </row>
    <row r="431" spans="1:7" ht="10.5" x14ac:dyDescent="0.2">
      <c r="A431" s="174" t="s">
        <v>41</v>
      </c>
      <c r="B431" s="170"/>
      <c r="C431" s="170"/>
      <c r="D431" s="170"/>
      <c r="E431" s="170"/>
      <c r="F431" s="170"/>
      <c r="G431" s="187" t="e">
        <f t="shared" si="2"/>
        <v>#DIV/0!</v>
      </c>
    </row>
    <row r="432" spans="1:7" x14ac:dyDescent="0.2">
      <c r="A432" s="170" t="s">
        <v>177</v>
      </c>
      <c r="B432" s="178">
        <v>141.85088099999999</v>
      </c>
      <c r="C432" s="178">
        <v>153.000944</v>
      </c>
      <c r="D432" s="178">
        <v>159.29231100000001</v>
      </c>
      <c r="E432" s="178">
        <v>165.357181</v>
      </c>
      <c r="F432" s="178">
        <v>165.435529</v>
      </c>
      <c r="G432" s="187">
        <f t="shared" si="2"/>
        <v>156.98736919999999</v>
      </c>
    </row>
    <row r="433" spans="1:7" ht="10.5" x14ac:dyDescent="0.2">
      <c r="A433" s="174" t="s">
        <v>180</v>
      </c>
      <c r="B433" s="183">
        <v>375.71734300000003</v>
      </c>
      <c r="C433" s="183">
        <v>407.21173299999998</v>
      </c>
      <c r="D433" s="183">
        <v>431.41836999999998</v>
      </c>
      <c r="E433" s="183">
        <v>445.56167299999998</v>
      </c>
      <c r="F433" s="183">
        <v>442.40391799999998</v>
      </c>
      <c r="G433" s="187">
        <f t="shared" si="2"/>
        <v>420.46260739999997</v>
      </c>
    </row>
    <row r="434" spans="1:7" x14ac:dyDescent="0.2">
      <c r="A434" s="170"/>
      <c r="B434" s="170"/>
      <c r="C434" s="170"/>
      <c r="D434" s="170"/>
      <c r="E434" s="170"/>
      <c r="F434" s="170"/>
      <c r="G434" s="187" t="e">
        <f t="shared" si="2"/>
        <v>#DIV/0!</v>
      </c>
    </row>
    <row r="435" spans="1:7" ht="10.5" x14ac:dyDescent="0.2">
      <c r="A435" s="174" t="s">
        <v>41</v>
      </c>
      <c r="B435" s="170"/>
      <c r="C435" s="170"/>
      <c r="D435" s="170"/>
      <c r="E435" s="170"/>
      <c r="F435" s="170"/>
      <c r="G435" s="187" t="e">
        <f t="shared" si="2"/>
        <v>#DIV/0!</v>
      </c>
    </row>
    <row r="436" spans="1:7" ht="10.5" x14ac:dyDescent="0.2">
      <c r="A436" s="174" t="s">
        <v>236</v>
      </c>
      <c r="B436" s="183">
        <v>215.00702200000001</v>
      </c>
      <c r="C436" s="183">
        <v>226.77111099999999</v>
      </c>
      <c r="D436" s="183">
        <v>263.46098599999999</v>
      </c>
      <c r="E436" s="183">
        <v>289.714741</v>
      </c>
      <c r="F436" s="183">
        <v>334.69502599999998</v>
      </c>
      <c r="G436" s="187">
        <f t="shared" si="2"/>
        <v>265.92977719999999</v>
      </c>
    </row>
    <row r="437" spans="1:7" x14ac:dyDescent="0.2">
      <c r="A437" s="170"/>
      <c r="B437" s="170"/>
      <c r="C437" s="170"/>
      <c r="D437" s="170"/>
      <c r="E437" s="170"/>
      <c r="F437" s="170"/>
      <c r="G437" s="187" t="e">
        <f t="shared" si="2"/>
        <v>#DIV/0!</v>
      </c>
    </row>
    <row r="438" spans="1:7" ht="10.5" x14ac:dyDescent="0.2">
      <c r="A438" s="174" t="s">
        <v>41</v>
      </c>
      <c r="B438" s="170"/>
      <c r="C438" s="170"/>
      <c r="D438" s="170"/>
      <c r="E438" s="170"/>
      <c r="F438" s="170"/>
      <c r="G438" s="187" t="e">
        <f t="shared" ref="G438:G470" si="3">AVERAGE(B438:F438)</f>
        <v>#DIV/0!</v>
      </c>
    </row>
    <row r="439" spans="1:7" x14ac:dyDescent="0.2">
      <c r="A439" s="170" t="s">
        <v>537</v>
      </c>
      <c r="B439" s="178">
        <v>0.94376899999999997</v>
      </c>
      <c r="C439" s="178">
        <v>0.85691200000000001</v>
      </c>
      <c r="D439" s="178">
        <v>0.88662799999999997</v>
      </c>
      <c r="E439" s="178">
        <v>1.4286399999999999</v>
      </c>
      <c r="F439" s="178">
        <v>1.9054219999999999</v>
      </c>
      <c r="G439" s="187">
        <f t="shared" si="3"/>
        <v>1.2042742</v>
      </c>
    </row>
    <row r="440" spans="1:7" x14ac:dyDescent="0.2">
      <c r="A440" s="170"/>
      <c r="B440" s="170"/>
      <c r="C440" s="170"/>
      <c r="D440" s="170"/>
      <c r="E440" s="170"/>
      <c r="F440" s="170"/>
      <c r="G440" s="187" t="e">
        <f t="shared" si="3"/>
        <v>#DIV/0!</v>
      </c>
    </row>
    <row r="441" spans="1:7" ht="10.5" x14ac:dyDescent="0.2">
      <c r="A441" s="174" t="s">
        <v>187</v>
      </c>
      <c r="B441" s="186">
        <v>217.73760100000001</v>
      </c>
      <c r="C441" s="186">
        <v>229.050037</v>
      </c>
      <c r="D441" s="186">
        <v>264.97734300000002</v>
      </c>
      <c r="E441" s="186">
        <v>291.55736200000001</v>
      </c>
      <c r="F441" s="186">
        <v>336.85660200000001</v>
      </c>
      <c r="G441" s="187">
        <f t="shared" si="3"/>
        <v>268.03578900000002</v>
      </c>
    </row>
    <row r="442" spans="1:7" x14ac:dyDescent="0.2">
      <c r="A442" s="170"/>
      <c r="B442" s="170"/>
      <c r="C442" s="170"/>
      <c r="D442" s="170"/>
      <c r="E442" s="170"/>
      <c r="F442" s="170"/>
      <c r="G442" s="187" t="e">
        <f t="shared" si="3"/>
        <v>#DIV/0!</v>
      </c>
    </row>
    <row r="443" spans="1:7" ht="10.5" x14ac:dyDescent="0.2">
      <c r="A443" s="174" t="s">
        <v>83</v>
      </c>
      <c r="B443" s="170"/>
      <c r="C443" s="170"/>
      <c r="D443" s="170"/>
      <c r="E443" s="170"/>
      <c r="F443" s="170"/>
      <c r="G443" s="187" t="e">
        <f t="shared" si="3"/>
        <v>#DIV/0!</v>
      </c>
    </row>
    <row r="444" spans="1:7" x14ac:dyDescent="0.2">
      <c r="A444" s="170" t="s">
        <v>191</v>
      </c>
      <c r="B444" s="185">
        <v>215</v>
      </c>
      <c r="C444" s="185">
        <v>226.8</v>
      </c>
      <c r="D444" s="185">
        <v>263.5</v>
      </c>
      <c r="E444" s="185">
        <v>289.7</v>
      </c>
      <c r="F444" s="185">
        <v>334.7</v>
      </c>
      <c r="G444" s="187">
        <f t="shared" si="3"/>
        <v>265.94</v>
      </c>
    </row>
    <row r="445" spans="1:7" x14ac:dyDescent="0.2">
      <c r="A445" s="170" t="s">
        <v>192</v>
      </c>
      <c r="B445" s="178">
        <v>21.839621000000001</v>
      </c>
      <c r="C445" s="178">
        <v>29.541294000000001</v>
      </c>
      <c r="D445" s="178">
        <v>38.222217999999998</v>
      </c>
      <c r="E445" s="178">
        <v>40.038677</v>
      </c>
      <c r="F445" s="178">
        <v>69.239206999999993</v>
      </c>
      <c r="G445" s="187">
        <f t="shared" si="3"/>
        <v>39.7762034</v>
      </c>
    </row>
    <row r="446" spans="1:7" x14ac:dyDescent="0.2">
      <c r="A446" s="170" t="s">
        <v>194</v>
      </c>
      <c r="B446" s="178">
        <v>179.99431000000001</v>
      </c>
      <c r="C446" s="178">
        <v>187.232955</v>
      </c>
      <c r="D446" s="178">
        <v>191.319242</v>
      </c>
      <c r="E446" s="178">
        <v>198.15127200000001</v>
      </c>
      <c r="F446" s="178">
        <v>211.304643</v>
      </c>
      <c r="G446" s="187">
        <f t="shared" si="3"/>
        <v>193.6004844</v>
      </c>
    </row>
    <row r="447" spans="1:7" x14ac:dyDescent="0.2">
      <c r="G447" s="187" t="e">
        <f t="shared" si="3"/>
        <v>#DIV/0!</v>
      </c>
    </row>
    <row r="448" spans="1:7" ht="17" x14ac:dyDescent="0.35">
      <c r="A448" s="165" t="s">
        <v>538</v>
      </c>
      <c r="B448" s="166"/>
      <c r="C448" s="166"/>
      <c r="D448" s="166"/>
      <c r="E448" s="166"/>
      <c r="F448" s="166"/>
      <c r="G448" s="187" t="e">
        <f t="shared" si="3"/>
        <v>#DIV/0!</v>
      </c>
    </row>
    <row r="449" spans="1:7" x14ac:dyDescent="0.2">
      <c r="A449" s="166"/>
      <c r="B449" s="166"/>
      <c r="C449" s="166"/>
      <c r="D449" s="166"/>
      <c r="E449" s="166"/>
      <c r="F449" s="166"/>
      <c r="G449" s="187" t="e">
        <f t="shared" si="3"/>
        <v>#DIV/0!</v>
      </c>
    </row>
    <row r="450" spans="1:7" ht="20.5" x14ac:dyDescent="0.25">
      <c r="A450" s="179" t="s">
        <v>529</v>
      </c>
      <c r="B450" s="169" t="s">
        <v>12</v>
      </c>
      <c r="C450" s="166" t="s">
        <v>13</v>
      </c>
      <c r="D450" s="170" t="s">
        <v>14</v>
      </c>
      <c r="E450" s="169" t="s">
        <v>19</v>
      </c>
      <c r="F450" s="166" t="s">
        <v>20</v>
      </c>
      <c r="G450" s="187" t="e">
        <f t="shared" si="3"/>
        <v>#DIV/0!</v>
      </c>
    </row>
    <row r="451" spans="1:7" ht="10.5" x14ac:dyDescent="0.25">
      <c r="A451" s="170"/>
      <c r="B451" s="169" t="s">
        <v>17</v>
      </c>
      <c r="C451" s="166" t="s">
        <v>18</v>
      </c>
      <c r="D451" s="170" t="s">
        <v>14</v>
      </c>
      <c r="E451" s="169" t="s">
        <v>27</v>
      </c>
      <c r="F451" s="180">
        <v>1</v>
      </c>
      <c r="G451" s="187">
        <f t="shared" si="3"/>
        <v>1</v>
      </c>
    </row>
    <row r="452" spans="1:7" ht="10.5" x14ac:dyDescent="0.25">
      <c r="A452" s="170"/>
      <c r="B452" s="169" t="s">
        <v>21</v>
      </c>
      <c r="C452" s="166" t="s">
        <v>530</v>
      </c>
      <c r="D452" s="170" t="s">
        <v>14</v>
      </c>
      <c r="E452" s="169" t="s">
        <v>23</v>
      </c>
      <c r="F452" s="166" t="s">
        <v>24</v>
      </c>
      <c r="G452" s="187" t="e">
        <f t="shared" si="3"/>
        <v>#DIV/0!</v>
      </c>
    </row>
    <row r="453" spans="1:7" x14ac:dyDescent="0.2">
      <c r="A453" s="166"/>
      <c r="B453" s="166"/>
      <c r="C453" s="166"/>
      <c r="D453" s="166"/>
      <c r="E453" s="166"/>
      <c r="F453" s="166"/>
      <c r="G453" s="187" t="e">
        <f t="shared" si="3"/>
        <v>#DIV/0!</v>
      </c>
    </row>
    <row r="454" spans="1:7" x14ac:dyDescent="0.2">
      <c r="A454" s="166"/>
      <c r="B454" s="166"/>
      <c r="C454" s="166"/>
      <c r="D454" s="166"/>
      <c r="E454" s="166"/>
      <c r="F454" s="166"/>
      <c r="G454" s="187" t="e">
        <f t="shared" si="3"/>
        <v>#DIV/0!</v>
      </c>
    </row>
    <row r="455" spans="1:7" x14ac:dyDescent="0.2">
      <c r="A455" s="167" t="s">
        <v>115</v>
      </c>
      <c r="B455" s="167"/>
      <c r="C455" s="167"/>
      <c r="D455" s="167"/>
      <c r="E455" s="167"/>
      <c r="F455" s="167"/>
      <c r="G455" s="187" t="e">
        <f t="shared" si="3"/>
        <v>#DIV/0!</v>
      </c>
    </row>
    <row r="456" spans="1:7" ht="21" x14ac:dyDescent="0.25">
      <c r="A456" s="172" t="s">
        <v>465</v>
      </c>
      <c r="B456" s="173" t="s">
        <v>466</v>
      </c>
      <c r="C456" s="173" t="s">
        <v>467</v>
      </c>
      <c r="D456" s="173" t="s">
        <v>468</v>
      </c>
      <c r="E456" s="173" t="s">
        <v>469</v>
      </c>
      <c r="F456" s="173" t="s">
        <v>470</v>
      </c>
      <c r="G456" s="187" t="e">
        <f t="shared" si="3"/>
        <v>#DIV/0!</v>
      </c>
    </row>
    <row r="457" spans="1:7" x14ac:dyDescent="0.2">
      <c r="A457" s="181" t="s">
        <v>39</v>
      </c>
      <c r="B457" s="182" t="s">
        <v>40</v>
      </c>
      <c r="C457" s="182" t="s">
        <v>40</v>
      </c>
      <c r="D457" s="182" t="s">
        <v>40</v>
      </c>
      <c r="E457" s="182" t="s">
        <v>40</v>
      </c>
      <c r="F457" s="182" t="s">
        <v>40</v>
      </c>
      <c r="G457" s="187" t="e">
        <f t="shared" si="3"/>
        <v>#DIV/0!</v>
      </c>
    </row>
    <row r="458" spans="1:7" ht="10.5" x14ac:dyDescent="0.2">
      <c r="A458" s="174" t="s">
        <v>41</v>
      </c>
      <c r="B458" s="170"/>
      <c r="C458" s="170"/>
      <c r="D458" s="170"/>
      <c r="E458" s="170"/>
      <c r="F458" s="170"/>
      <c r="G458" s="187" t="e">
        <f t="shared" si="3"/>
        <v>#DIV/0!</v>
      </c>
    </row>
    <row r="459" spans="1:7" x14ac:dyDescent="0.2">
      <c r="A459" s="170" t="s">
        <v>116</v>
      </c>
      <c r="B459" s="178">
        <v>22.163259</v>
      </c>
      <c r="C459" s="178">
        <v>24.021138000000001</v>
      </c>
      <c r="D459" s="178">
        <v>24.666367000000001</v>
      </c>
      <c r="E459" s="178">
        <v>27.288698</v>
      </c>
      <c r="F459" s="178">
        <v>27.381226000000002</v>
      </c>
      <c r="G459" s="187">
        <f t="shared" si="3"/>
        <v>25.104137599999998</v>
      </c>
    </row>
    <row r="460" spans="1:7" x14ac:dyDescent="0.2">
      <c r="A460" s="170"/>
      <c r="B460" s="170"/>
      <c r="C460" s="170"/>
      <c r="D460" s="170"/>
      <c r="E460" s="170"/>
      <c r="F460" s="170"/>
      <c r="G460" s="187" t="e">
        <f t="shared" si="3"/>
        <v>#DIV/0!</v>
      </c>
    </row>
    <row r="461" spans="1:7" x14ac:dyDescent="0.2">
      <c r="A461" s="170" t="s">
        <v>539</v>
      </c>
      <c r="B461" s="178">
        <v>88.652845999999997</v>
      </c>
      <c r="C461" s="178">
        <v>100.25196</v>
      </c>
      <c r="D461" s="178">
        <v>118.15356199999999</v>
      </c>
      <c r="E461" s="178">
        <v>115.78919399999999</v>
      </c>
      <c r="F461" s="178">
        <v>130.930443</v>
      </c>
      <c r="G461" s="187">
        <f t="shared" si="3"/>
        <v>110.755601</v>
      </c>
    </row>
    <row r="462" spans="1:7" x14ac:dyDescent="0.2">
      <c r="A462" s="170"/>
      <c r="B462" s="170"/>
      <c r="C462" s="170"/>
      <c r="D462" s="170"/>
      <c r="E462" s="170"/>
      <c r="F462" s="170"/>
      <c r="G462" s="187" t="e">
        <f t="shared" si="3"/>
        <v>#DIV/0!</v>
      </c>
    </row>
    <row r="463" spans="1:7" x14ac:dyDescent="0.2">
      <c r="A463" s="170" t="s">
        <v>125</v>
      </c>
      <c r="B463" s="178">
        <v>-18.5</v>
      </c>
      <c r="C463" s="178">
        <v>-19.399999999999999</v>
      </c>
      <c r="D463" s="178">
        <v>-24.5</v>
      </c>
      <c r="E463" s="178">
        <v>-28.8</v>
      </c>
      <c r="F463" s="178">
        <v>-32.700000000000003</v>
      </c>
      <c r="G463" s="187">
        <f t="shared" si="3"/>
        <v>-24.78</v>
      </c>
    </row>
    <row r="464" spans="1:7" x14ac:dyDescent="0.2">
      <c r="A464" s="170" t="s">
        <v>540</v>
      </c>
      <c r="B464" s="178">
        <v>-16.8</v>
      </c>
      <c r="C464" s="178">
        <v>-32.4</v>
      </c>
      <c r="D464" s="178">
        <v>-50.8</v>
      </c>
      <c r="E464" s="178">
        <v>-37.5</v>
      </c>
      <c r="F464" s="178">
        <v>-57.4</v>
      </c>
      <c r="G464" s="187">
        <f t="shared" si="3"/>
        <v>-38.980000000000004</v>
      </c>
    </row>
    <row r="465" spans="1:7" x14ac:dyDescent="0.2">
      <c r="A465" s="170"/>
      <c r="B465" s="170"/>
      <c r="C465" s="170"/>
      <c r="D465" s="170"/>
      <c r="E465" s="170"/>
      <c r="F465" s="170"/>
      <c r="G465" s="187" t="e">
        <f t="shared" si="3"/>
        <v>#DIV/0!</v>
      </c>
    </row>
    <row r="466" spans="1:7" x14ac:dyDescent="0.2">
      <c r="A466" s="170" t="s">
        <v>541</v>
      </c>
      <c r="B466" s="178">
        <v>-57.8</v>
      </c>
      <c r="C466" s="178">
        <v>-61.5</v>
      </c>
      <c r="D466" s="178">
        <v>-69.099999999999994</v>
      </c>
      <c r="E466" s="178">
        <v>-82.8</v>
      </c>
      <c r="F466" s="178">
        <v>-59.3</v>
      </c>
      <c r="G466" s="187">
        <f t="shared" si="3"/>
        <v>-66.099999999999994</v>
      </c>
    </row>
    <row r="467" spans="1:7" x14ac:dyDescent="0.2">
      <c r="A467" s="170"/>
      <c r="B467" s="170"/>
      <c r="C467" s="170"/>
      <c r="D467" s="170"/>
      <c r="E467" s="170"/>
      <c r="F467" s="170"/>
      <c r="G467" s="187" t="e">
        <f t="shared" si="3"/>
        <v>#DIV/0!</v>
      </c>
    </row>
    <row r="468" spans="1:7" ht="10.5" x14ac:dyDescent="0.2">
      <c r="A468" s="174" t="s">
        <v>83</v>
      </c>
      <c r="B468" s="170"/>
      <c r="C468" s="170"/>
      <c r="D468" s="170"/>
      <c r="E468" s="170"/>
      <c r="F468" s="170"/>
      <c r="G468" s="187" t="e">
        <f t="shared" si="3"/>
        <v>#DIV/0!</v>
      </c>
    </row>
    <row r="469" spans="1:7" x14ac:dyDescent="0.2">
      <c r="A469" s="170" t="s">
        <v>145</v>
      </c>
      <c r="B469" s="178">
        <v>58.942689999999999</v>
      </c>
      <c r="C469" s="178">
        <v>68.245643000000001</v>
      </c>
      <c r="D469" s="178">
        <v>74.855311</v>
      </c>
      <c r="E469" s="178">
        <v>80.127881000000002</v>
      </c>
      <c r="F469" s="178">
        <v>84.917940999999999</v>
      </c>
      <c r="G469" s="187">
        <f t="shared" si="3"/>
        <v>73.417893199999995</v>
      </c>
    </row>
    <row r="470" spans="1:7" x14ac:dyDescent="0.2">
      <c r="A470" s="170" t="s">
        <v>146</v>
      </c>
      <c r="B470" s="178">
        <v>62.047632999999998</v>
      </c>
      <c r="C470" s="178">
        <v>71.342116000000004</v>
      </c>
      <c r="D470" s="178">
        <v>77.870161999999993</v>
      </c>
      <c r="E470" s="178">
        <v>83.256895</v>
      </c>
      <c r="F470" s="178">
        <v>88.966442999999998</v>
      </c>
      <c r="G470" s="187">
        <f t="shared" si="3"/>
        <v>76.696649800000003</v>
      </c>
    </row>
    <row r="472" spans="1:7" ht="14.5" x14ac:dyDescent="0.35">
      <c r="A472" t="s">
        <v>327</v>
      </c>
      <c r="B472" t="s">
        <v>587</v>
      </c>
      <c r="C472" s="49"/>
    </row>
    <row r="473" spans="1:7" ht="14.5" x14ac:dyDescent="0.35">
      <c r="A473" s="94">
        <v>43647</v>
      </c>
      <c r="B473">
        <v>51.401077000000001</v>
      </c>
      <c r="C473" s="49"/>
    </row>
    <row r="474" spans="1:7" ht="14.5" x14ac:dyDescent="0.35">
      <c r="A474" s="94">
        <v>43678</v>
      </c>
      <c r="B474">
        <v>50.363598000000003</v>
      </c>
      <c r="C474" s="49"/>
    </row>
    <row r="475" spans="1:7" ht="14.5" x14ac:dyDescent="0.35">
      <c r="A475" s="94">
        <v>43709</v>
      </c>
      <c r="B475">
        <v>54.243518999999999</v>
      </c>
      <c r="C475" s="49"/>
    </row>
    <row r="476" spans="1:7" ht="14.5" x14ac:dyDescent="0.35">
      <c r="A476" s="94">
        <v>43739</v>
      </c>
      <c r="B476">
        <v>60.247436999999998</v>
      </c>
      <c r="C476" s="49"/>
    </row>
    <row r="477" spans="1:7" ht="14.5" x14ac:dyDescent="0.35">
      <c r="A477" s="94">
        <v>43770</v>
      </c>
      <c r="B477">
        <v>64.725548000000003</v>
      </c>
      <c r="C477" s="49"/>
    </row>
    <row r="478" spans="1:7" ht="14.5" x14ac:dyDescent="0.35">
      <c r="A478" s="94">
        <v>43800</v>
      </c>
      <c r="B478">
        <v>71.332909000000001</v>
      </c>
    </row>
    <row r="479" spans="1:7" ht="14.5" x14ac:dyDescent="0.35">
      <c r="A479" s="94">
        <v>43831</v>
      </c>
      <c r="B479">
        <v>75.185576999999995</v>
      </c>
    </row>
    <row r="480" spans="1:7" ht="14.5" x14ac:dyDescent="0.35">
      <c r="A480" s="94">
        <v>43862</v>
      </c>
      <c r="B480">
        <v>66.404114000000007</v>
      </c>
    </row>
    <row r="481" spans="1:2" ht="14.5" x14ac:dyDescent="0.35">
      <c r="A481" s="94">
        <v>43891</v>
      </c>
      <c r="B481">
        <v>61.918258999999999</v>
      </c>
    </row>
    <row r="482" spans="1:2" ht="14.5" x14ac:dyDescent="0.35">
      <c r="A482" s="94">
        <v>43922</v>
      </c>
      <c r="B482">
        <v>71.538734000000005</v>
      </c>
    </row>
    <row r="483" spans="1:2" ht="14.5" x14ac:dyDescent="0.35">
      <c r="A483" s="94">
        <v>43952</v>
      </c>
      <c r="B483">
        <v>77.416686999999996</v>
      </c>
    </row>
    <row r="484" spans="1:2" ht="14.5" x14ac:dyDescent="0.35">
      <c r="A484" s="94">
        <v>43983</v>
      </c>
      <c r="B484">
        <v>89.067284000000001</v>
      </c>
    </row>
    <row r="485" spans="1:2" ht="14.5" x14ac:dyDescent="0.35">
      <c r="A485" s="94">
        <v>44013</v>
      </c>
      <c r="B485">
        <v>103.77514600000001</v>
      </c>
    </row>
    <row r="486" spans="1:2" ht="14.5" x14ac:dyDescent="0.35">
      <c r="A486" s="94">
        <v>44044</v>
      </c>
      <c r="B486">
        <v>126.022392</v>
      </c>
    </row>
    <row r="487" spans="1:2" ht="14.5" x14ac:dyDescent="0.35">
      <c r="A487" s="94">
        <v>44075</v>
      </c>
      <c r="B487">
        <v>113.305725</v>
      </c>
    </row>
    <row r="488" spans="1:2" ht="14.5" x14ac:dyDescent="0.35">
      <c r="A488" s="94">
        <v>44105</v>
      </c>
      <c r="B488">
        <v>106.506012</v>
      </c>
    </row>
    <row r="489" spans="1:2" ht="14.5" x14ac:dyDescent="0.35">
      <c r="A489" s="94">
        <v>44136</v>
      </c>
      <c r="B489">
        <v>116.47566999999999</v>
      </c>
    </row>
    <row r="490" spans="1:2" ht="14.5" x14ac:dyDescent="0.35">
      <c r="A490" s="94">
        <v>44166</v>
      </c>
      <c r="B490">
        <v>130.044647</v>
      </c>
    </row>
    <row r="491" spans="1:2" ht="14.5" x14ac:dyDescent="0.35">
      <c r="A491" s="94">
        <v>44197</v>
      </c>
      <c r="B491">
        <v>129.32926900000001</v>
      </c>
    </row>
    <row r="492" spans="1:2" ht="14.5" x14ac:dyDescent="0.35">
      <c r="A492" s="94">
        <v>44228</v>
      </c>
      <c r="B492">
        <v>118.842545</v>
      </c>
    </row>
    <row r="493" spans="1:2" ht="14.5" x14ac:dyDescent="0.35">
      <c r="A493" s="94">
        <v>44256</v>
      </c>
      <c r="B493">
        <v>119.893715</v>
      </c>
    </row>
    <row r="494" spans="1:2" ht="14.5" x14ac:dyDescent="0.35">
      <c r="A494" s="94">
        <v>44287</v>
      </c>
      <c r="B494">
        <v>129.031723</v>
      </c>
    </row>
    <row r="495" spans="1:2" ht="14.5" x14ac:dyDescent="0.35">
      <c r="A495" s="94">
        <v>44317</v>
      </c>
      <c r="B495">
        <v>122.308273</v>
      </c>
    </row>
    <row r="496" spans="1:2" ht="14.5" x14ac:dyDescent="0.35">
      <c r="A496" s="94">
        <v>44348</v>
      </c>
      <c r="B496">
        <v>134.65846300000001</v>
      </c>
    </row>
    <row r="497" spans="1:2" ht="14.5" x14ac:dyDescent="0.35">
      <c r="A497" s="94">
        <v>44378</v>
      </c>
      <c r="B497">
        <v>143.40889000000001</v>
      </c>
    </row>
    <row r="498" spans="1:2" ht="14.5" x14ac:dyDescent="0.35">
      <c r="A498" s="94">
        <v>44409</v>
      </c>
      <c r="B498">
        <v>149.278595</v>
      </c>
    </row>
    <row r="499" spans="1:2" ht="14.5" x14ac:dyDescent="0.35">
      <c r="A499" s="94">
        <v>44440</v>
      </c>
      <c r="B499">
        <v>139.33062699999999</v>
      </c>
    </row>
    <row r="500" spans="1:2" ht="14.5" x14ac:dyDescent="0.35">
      <c r="A500" s="94">
        <v>44470</v>
      </c>
      <c r="B500">
        <v>147.50337200000001</v>
      </c>
    </row>
    <row r="501" spans="1:2" ht="14.5" x14ac:dyDescent="0.35">
      <c r="A501" s="94">
        <v>44501</v>
      </c>
      <c r="B501">
        <v>162.765762</v>
      </c>
    </row>
    <row r="502" spans="1:2" ht="14.5" x14ac:dyDescent="0.35">
      <c r="A502" s="94">
        <v>44531</v>
      </c>
      <c r="B502">
        <v>175.10279800000001</v>
      </c>
    </row>
    <row r="503" spans="1:2" ht="14.5" x14ac:dyDescent="0.35">
      <c r="A503" s="94">
        <v>44562</v>
      </c>
      <c r="B503">
        <v>172.35157799999999</v>
      </c>
    </row>
    <row r="504" spans="1:2" ht="14.5" x14ac:dyDescent="0.35">
      <c r="A504" s="94">
        <v>44593</v>
      </c>
      <c r="B504">
        <v>162.82577499999999</v>
      </c>
    </row>
    <row r="505" spans="1:2" ht="14.5" x14ac:dyDescent="0.35">
      <c r="A505" s="94">
        <v>44621</v>
      </c>
      <c r="B505">
        <v>172.40330499999999</v>
      </c>
    </row>
    <row r="506" spans="1:2" ht="14.5" x14ac:dyDescent="0.35">
      <c r="A506" s="94">
        <v>44652</v>
      </c>
      <c r="B506">
        <v>155.65765400000001</v>
      </c>
    </row>
    <row r="507" spans="1:2" ht="14.5" x14ac:dyDescent="0.35">
      <c r="A507" s="94">
        <v>44682</v>
      </c>
      <c r="B507">
        <v>146.95898399999999</v>
      </c>
    </row>
    <row r="508" spans="1:2" ht="14.5" x14ac:dyDescent="0.35">
      <c r="A508" s="94">
        <v>44713</v>
      </c>
      <c r="B508">
        <v>135.19046</v>
      </c>
    </row>
    <row r="509" spans="1:2" ht="14.5" x14ac:dyDescent="0.35">
      <c r="A509" s="94">
        <v>44743</v>
      </c>
      <c r="B509">
        <v>160.691971</v>
      </c>
    </row>
    <row r="510" spans="1:2" ht="14.5" x14ac:dyDescent="0.35">
      <c r="A510" s="94">
        <v>44774</v>
      </c>
      <c r="B510">
        <v>155.46118200000001</v>
      </c>
    </row>
    <row r="511" spans="1:2" ht="14.5" x14ac:dyDescent="0.35">
      <c r="A511" s="94">
        <v>44805</v>
      </c>
      <c r="B511">
        <v>136.84375</v>
      </c>
    </row>
    <row r="512" spans="1:2" ht="14.5" x14ac:dyDescent="0.35">
      <c r="A512" s="94">
        <v>44835</v>
      </c>
      <c r="B512">
        <v>151.835159</v>
      </c>
    </row>
    <row r="513" spans="1:2" ht="14.5" x14ac:dyDescent="0.35">
      <c r="A513" s="94">
        <v>44866</v>
      </c>
      <c r="B513">
        <v>146.577271</v>
      </c>
    </row>
    <row r="514" spans="1:2" ht="14.5" x14ac:dyDescent="0.35">
      <c r="A514" s="94">
        <v>44896</v>
      </c>
      <c r="B514">
        <v>128.86833200000001</v>
      </c>
    </row>
    <row r="515" spans="1:2" ht="14.5" x14ac:dyDescent="0.35">
      <c r="A515" s="94">
        <v>44927</v>
      </c>
      <c r="B515">
        <v>143.11097699999999</v>
      </c>
    </row>
    <row r="516" spans="1:2" ht="14.5" x14ac:dyDescent="0.35">
      <c r="A516" s="94">
        <v>44958</v>
      </c>
      <c r="B516">
        <v>146.20550499999999</v>
      </c>
    </row>
    <row r="517" spans="1:2" ht="14.5" x14ac:dyDescent="0.35">
      <c r="A517" s="94">
        <v>44986</v>
      </c>
      <c r="B517">
        <v>163.80230700000001</v>
      </c>
    </row>
    <row r="518" spans="1:2" ht="14.5" x14ac:dyDescent="0.35">
      <c r="A518" s="94">
        <v>45017</v>
      </c>
      <c r="B518">
        <v>168.55049099999999</v>
      </c>
    </row>
    <row r="519" spans="1:2" ht="14.5" x14ac:dyDescent="0.35">
      <c r="A519" s="94">
        <v>45047</v>
      </c>
      <c r="B519">
        <v>176.07011399999999</v>
      </c>
    </row>
    <row r="520" spans="1:2" ht="14.5" x14ac:dyDescent="0.35">
      <c r="A520" s="94">
        <v>45078</v>
      </c>
      <c r="B520">
        <v>192.945313</v>
      </c>
    </row>
    <row r="521" spans="1:2" ht="14.5" x14ac:dyDescent="0.35">
      <c r="A521" s="94">
        <v>45108</v>
      </c>
      <c r="B521">
        <v>195.41220100000001</v>
      </c>
    </row>
    <row r="522" spans="1:2" ht="14.5" x14ac:dyDescent="0.35">
      <c r="A522" s="94">
        <v>45139</v>
      </c>
      <c r="B522">
        <v>186.87754799999999</v>
      </c>
    </row>
    <row r="523" spans="1:2" ht="14.5" x14ac:dyDescent="0.35">
      <c r="A523" s="94">
        <v>45170</v>
      </c>
      <c r="B523">
        <v>170.535538</v>
      </c>
    </row>
    <row r="524" spans="1:2" ht="14.5" x14ac:dyDescent="0.35">
      <c r="A524" s="94">
        <v>45200</v>
      </c>
      <c r="B524">
        <v>170.09726000000001</v>
      </c>
    </row>
    <row r="525" spans="1:2" ht="14.5" x14ac:dyDescent="0.35">
      <c r="A525" s="94">
        <v>45231</v>
      </c>
      <c r="B525">
        <v>189.20169100000001</v>
      </c>
    </row>
    <row r="526" spans="1:2" ht="14.5" x14ac:dyDescent="0.35">
      <c r="A526" s="94">
        <v>45261</v>
      </c>
      <c r="B526">
        <v>192.02418499999999</v>
      </c>
    </row>
    <row r="527" spans="1:2" ht="14.5" x14ac:dyDescent="0.35">
      <c r="A527" s="94">
        <v>45292</v>
      </c>
      <c r="B527">
        <v>183.91554300000001</v>
      </c>
    </row>
    <row r="528" spans="1:2" ht="14.5" x14ac:dyDescent="0.35">
      <c r="A528" s="94">
        <v>45323</v>
      </c>
      <c r="B528">
        <v>180.27513099999999</v>
      </c>
    </row>
    <row r="529" spans="1:2" ht="14.5" x14ac:dyDescent="0.35">
      <c r="A529" s="94">
        <v>45352</v>
      </c>
      <c r="B529">
        <v>171.247726</v>
      </c>
    </row>
    <row r="530" spans="1:2" ht="14.5" x14ac:dyDescent="0.35">
      <c r="A530" s="94">
        <v>45383</v>
      </c>
      <c r="B530">
        <v>170.099289</v>
      </c>
    </row>
    <row r="531" spans="1:2" ht="14.5" x14ac:dyDescent="0.35">
      <c r="A531" s="94">
        <v>45413</v>
      </c>
      <c r="B531">
        <v>191.98959400000001</v>
      </c>
    </row>
    <row r="532" spans="1:2" ht="14.5" x14ac:dyDescent="0.35">
      <c r="A532" s="94">
        <v>45444</v>
      </c>
      <c r="B532">
        <v>194.479996</v>
      </c>
    </row>
    <row r="533" spans="1:2" ht="14.5" x14ac:dyDescent="0.35">
      <c r="A533" s="94">
        <v>45450</v>
      </c>
      <c r="B533">
        <v>196.88999899999999</v>
      </c>
    </row>
    <row r="534" spans="1:2" ht="14.5" x14ac:dyDescent="0.35">
      <c r="A534" s="94"/>
      <c r="B534"/>
    </row>
    <row r="535" spans="1:2" ht="14.5" x14ac:dyDescent="0.35">
      <c r="A535" s="94"/>
      <c r="B535"/>
    </row>
    <row r="536" spans="1:2" ht="14.5" x14ac:dyDescent="0.35">
      <c r="A536" s="94"/>
      <c r="B536"/>
    </row>
    <row r="537" spans="1:2" ht="14.5" x14ac:dyDescent="0.35">
      <c r="A537" s="94"/>
      <c r="B537"/>
    </row>
    <row r="538" spans="1:2" ht="14.5" x14ac:dyDescent="0.35">
      <c r="A538" s="94"/>
      <c r="B538"/>
    </row>
    <row r="539" spans="1:2" ht="14.5" x14ac:dyDescent="0.35">
      <c r="A539" s="94"/>
      <c r="B539"/>
    </row>
    <row r="540" spans="1:2" ht="14.5" x14ac:dyDescent="0.35">
      <c r="A540" s="94"/>
      <c r="B540"/>
    </row>
    <row r="541" spans="1:2" ht="14.5" x14ac:dyDescent="0.35">
      <c r="A541" s="94"/>
      <c r="B541"/>
    </row>
    <row r="542" spans="1:2" ht="14.5" x14ac:dyDescent="0.35">
      <c r="A542" s="94"/>
      <c r="B542"/>
    </row>
    <row r="543" spans="1:2" ht="14.5" x14ac:dyDescent="0.35">
      <c r="A543" s="94"/>
      <c r="B543"/>
    </row>
    <row r="544" spans="1:2" ht="14.5" x14ac:dyDescent="0.35">
      <c r="A544" s="94"/>
      <c r="B544"/>
    </row>
    <row r="545" spans="1:2" ht="14.5" x14ac:dyDescent="0.35">
      <c r="A545" s="94"/>
      <c r="B545"/>
    </row>
    <row r="546" spans="1:2" ht="14.5" x14ac:dyDescent="0.35">
      <c r="A546" s="94"/>
      <c r="B546"/>
    </row>
    <row r="547" spans="1:2" ht="14.5" x14ac:dyDescent="0.35">
      <c r="A547" s="94"/>
      <c r="B547"/>
    </row>
    <row r="548" spans="1:2" ht="14.5" x14ac:dyDescent="0.35">
      <c r="A548" s="94"/>
      <c r="B548"/>
    </row>
    <row r="549" spans="1:2" ht="14.5" x14ac:dyDescent="0.35">
      <c r="A549" s="94"/>
      <c r="B549"/>
    </row>
    <row r="550" spans="1:2" ht="14.5" x14ac:dyDescent="0.35">
      <c r="A550" s="94"/>
      <c r="B550"/>
    </row>
    <row r="551" spans="1:2" ht="14.5" x14ac:dyDescent="0.35">
      <c r="A551" s="94"/>
      <c r="B551"/>
    </row>
    <row r="552" spans="1:2" ht="14.5" x14ac:dyDescent="0.35">
      <c r="A552" s="94"/>
      <c r="B552"/>
    </row>
    <row r="553" spans="1:2" ht="14.5" x14ac:dyDescent="0.35">
      <c r="A553" s="94"/>
      <c r="B553"/>
    </row>
    <row r="554" spans="1:2" ht="14.5" x14ac:dyDescent="0.35">
      <c r="A554" s="94"/>
      <c r="B554"/>
    </row>
    <row r="555" spans="1:2" ht="14.5" x14ac:dyDescent="0.35">
      <c r="A555" s="94"/>
      <c r="B555"/>
    </row>
    <row r="556" spans="1:2" ht="14.5" x14ac:dyDescent="0.35">
      <c r="A556" s="94"/>
      <c r="B556"/>
    </row>
    <row r="557" spans="1:2" ht="14.5" x14ac:dyDescent="0.35">
      <c r="A557" s="94"/>
      <c r="B557"/>
    </row>
    <row r="558" spans="1:2" ht="14.5" x14ac:dyDescent="0.35">
      <c r="A558" s="94"/>
      <c r="B558"/>
    </row>
    <row r="559" spans="1:2" ht="14.5" x14ac:dyDescent="0.35">
      <c r="A559" s="94"/>
      <c r="B559"/>
    </row>
    <row r="560" spans="1:2" ht="14.5" x14ac:dyDescent="0.35">
      <c r="A560" s="94"/>
      <c r="B560"/>
    </row>
    <row r="561" spans="1:2" ht="14.5" x14ac:dyDescent="0.35">
      <c r="A561" s="94"/>
      <c r="B561"/>
    </row>
    <row r="562" spans="1:2" ht="14.5" x14ac:dyDescent="0.35">
      <c r="A562" s="94"/>
      <c r="B562"/>
    </row>
    <row r="563" spans="1:2" ht="14.5" x14ac:dyDescent="0.35">
      <c r="A563" s="94"/>
      <c r="B563"/>
    </row>
    <row r="564" spans="1:2" ht="14.5" x14ac:dyDescent="0.35">
      <c r="A564" s="94"/>
      <c r="B564"/>
    </row>
    <row r="565" spans="1:2" ht="14.5" x14ac:dyDescent="0.35">
      <c r="A565" s="94"/>
      <c r="B565"/>
    </row>
    <row r="566" spans="1:2" ht="14.5" x14ac:dyDescent="0.35">
      <c r="A566" s="94"/>
      <c r="B566"/>
    </row>
    <row r="567" spans="1:2" ht="14.5" x14ac:dyDescent="0.35">
      <c r="A567" s="94"/>
      <c r="B567"/>
    </row>
    <row r="568" spans="1:2" ht="14.5" x14ac:dyDescent="0.35">
      <c r="A568" s="94"/>
      <c r="B568"/>
    </row>
    <row r="569" spans="1:2" ht="14.5" x14ac:dyDescent="0.35">
      <c r="A569" s="94"/>
      <c r="B569"/>
    </row>
    <row r="570" spans="1:2" ht="14.5" x14ac:dyDescent="0.35">
      <c r="A570" s="94"/>
      <c r="B570"/>
    </row>
    <row r="571" spans="1:2" ht="14.5" x14ac:dyDescent="0.35">
      <c r="A571" s="94"/>
      <c r="B571"/>
    </row>
    <row r="572" spans="1:2" ht="14.5" x14ac:dyDescent="0.35">
      <c r="A572" s="94"/>
      <c r="B572"/>
    </row>
    <row r="573" spans="1:2" ht="14.5" x14ac:dyDescent="0.35">
      <c r="A573" s="94"/>
      <c r="B573"/>
    </row>
    <row r="574" spans="1:2" ht="14.5" x14ac:dyDescent="0.35">
      <c r="A574" s="94"/>
      <c r="B574"/>
    </row>
    <row r="575" spans="1:2" ht="14.5" x14ac:dyDescent="0.35">
      <c r="A575" s="94"/>
      <c r="B575"/>
    </row>
    <row r="576" spans="1:2" ht="14.5" x14ac:dyDescent="0.35">
      <c r="A576" s="94"/>
      <c r="B576"/>
    </row>
    <row r="577" spans="1:2" ht="14.5" x14ac:dyDescent="0.35">
      <c r="A577" s="94"/>
      <c r="B577"/>
    </row>
    <row r="578" spans="1:2" ht="14.5" x14ac:dyDescent="0.35">
      <c r="A578" s="94"/>
      <c r="B578"/>
    </row>
    <row r="579" spans="1:2" ht="14.5" x14ac:dyDescent="0.35">
      <c r="A579" s="94"/>
      <c r="B579"/>
    </row>
    <row r="580" spans="1:2" ht="14.5" x14ac:dyDescent="0.35">
      <c r="A580" s="94"/>
      <c r="B580"/>
    </row>
    <row r="581" spans="1:2" ht="14.5" x14ac:dyDescent="0.35">
      <c r="A581" s="94"/>
      <c r="B581"/>
    </row>
    <row r="582" spans="1:2" ht="14.5" x14ac:dyDescent="0.35">
      <c r="A582" s="94"/>
      <c r="B582"/>
    </row>
    <row r="583" spans="1:2" ht="14.5" x14ac:dyDescent="0.35">
      <c r="A583" s="94"/>
      <c r="B583"/>
    </row>
    <row r="584" spans="1:2" ht="14.5" x14ac:dyDescent="0.35">
      <c r="A584" s="94"/>
      <c r="B584"/>
    </row>
    <row r="585" spans="1:2" ht="14.5" x14ac:dyDescent="0.35">
      <c r="A585" s="94"/>
      <c r="B585"/>
    </row>
    <row r="586" spans="1:2" ht="14.5" x14ac:dyDescent="0.35">
      <c r="A586" s="94"/>
      <c r="B586"/>
    </row>
    <row r="587" spans="1:2" ht="14.5" x14ac:dyDescent="0.35">
      <c r="A587" s="94"/>
      <c r="B587"/>
    </row>
    <row r="588" spans="1:2" ht="14.5" x14ac:dyDescent="0.35">
      <c r="A588" s="94"/>
      <c r="B588"/>
    </row>
    <row r="589" spans="1:2" ht="14.5" x14ac:dyDescent="0.35">
      <c r="A589" s="94"/>
      <c r="B589"/>
    </row>
    <row r="590" spans="1:2" ht="14.5" x14ac:dyDescent="0.35">
      <c r="A590" s="94"/>
      <c r="B590"/>
    </row>
    <row r="591" spans="1:2" ht="14.5" x14ac:dyDescent="0.35">
      <c r="A591" s="94"/>
      <c r="B591"/>
    </row>
    <row r="592" spans="1:2" ht="14.5" x14ac:dyDescent="0.35">
      <c r="A592" s="94"/>
      <c r="B592"/>
    </row>
    <row r="593" spans="1:2" ht="14.5" x14ac:dyDescent="0.35">
      <c r="A593" s="94"/>
      <c r="B593"/>
    </row>
    <row r="594" spans="1:2" ht="14.5" x14ac:dyDescent="0.35">
      <c r="A594" s="94"/>
      <c r="B594"/>
    </row>
    <row r="595" spans="1:2" ht="14.5" x14ac:dyDescent="0.35">
      <c r="A595" s="94"/>
      <c r="B595"/>
    </row>
    <row r="596" spans="1:2" ht="14.5" x14ac:dyDescent="0.35">
      <c r="A596" s="94"/>
      <c r="B596"/>
    </row>
    <row r="597" spans="1:2" ht="14.5" x14ac:dyDescent="0.35">
      <c r="A597" s="94"/>
      <c r="B597"/>
    </row>
    <row r="598" spans="1:2" ht="14.5" x14ac:dyDescent="0.35">
      <c r="A598" s="94"/>
      <c r="B598"/>
    </row>
    <row r="599" spans="1:2" ht="14.5" x14ac:dyDescent="0.35">
      <c r="A599" s="94"/>
      <c r="B599"/>
    </row>
    <row r="600" spans="1:2" ht="14.5" x14ac:dyDescent="0.35">
      <c r="A600" s="94"/>
      <c r="B600"/>
    </row>
    <row r="601" spans="1:2" ht="14.5" x14ac:dyDescent="0.35">
      <c r="A601" s="94"/>
      <c r="B601"/>
    </row>
    <row r="602" spans="1:2" ht="14.5" x14ac:dyDescent="0.35">
      <c r="A602" s="94"/>
      <c r="B602"/>
    </row>
    <row r="603" spans="1:2" ht="14.5" x14ac:dyDescent="0.35">
      <c r="A603" s="94"/>
      <c r="B603"/>
    </row>
    <row r="604" spans="1:2" ht="14.5" x14ac:dyDescent="0.35">
      <c r="A604" s="94"/>
      <c r="B604"/>
    </row>
    <row r="605" spans="1:2" ht="14.5" x14ac:dyDescent="0.35">
      <c r="A605" s="94"/>
      <c r="B605"/>
    </row>
    <row r="606" spans="1:2" ht="14.5" x14ac:dyDescent="0.35">
      <c r="A606" s="94"/>
      <c r="B606"/>
    </row>
    <row r="607" spans="1:2" ht="14.5" x14ac:dyDescent="0.35">
      <c r="A607" s="94"/>
      <c r="B607"/>
    </row>
    <row r="608" spans="1:2" ht="14.5" x14ac:dyDescent="0.35">
      <c r="A608" s="94"/>
      <c r="B608"/>
    </row>
    <row r="609" spans="1:2" ht="14.5" x14ac:dyDescent="0.35">
      <c r="A609" s="94"/>
      <c r="B609"/>
    </row>
    <row r="610" spans="1:2" ht="14.5" x14ac:dyDescent="0.35">
      <c r="A610" s="94"/>
      <c r="B610"/>
    </row>
    <row r="611" spans="1:2" ht="14.5" x14ac:dyDescent="0.35">
      <c r="A611" s="94"/>
      <c r="B611"/>
    </row>
    <row r="612" spans="1:2" ht="14.5" x14ac:dyDescent="0.35">
      <c r="A612" s="94"/>
      <c r="B612"/>
    </row>
    <row r="613" spans="1:2" ht="14.5" x14ac:dyDescent="0.35">
      <c r="A613" s="94"/>
      <c r="B613"/>
    </row>
    <row r="614" spans="1:2" ht="14.5" x14ac:dyDescent="0.35">
      <c r="A614" s="94"/>
      <c r="B614"/>
    </row>
    <row r="615" spans="1:2" ht="14.5" x14ac:dyDescent="0.35">
      <c r="A615" s="94"/>
      <c r="B615"/>
    </row>
    <row r="616" spans="1:2" ht="14.5" x14ac:dyDescent="0.35">
      <c r="A616" s="94"/>
      <c r="B616"/>
    </row>
    <row r="617" spans="1:2" ht="14.5" x14ac:dyDescent="0.35">
      <c r="A617" s="94"/>
      <c r="B617"/>
    </row>
    <row r="618" spans="1:2" ht="14.5" x14ac:dyDescent="0.35">
      <c r="A618" s="94"/>
      <c r="B618"/>
    </row>
    <row r="619" spans="1:2" ht="14.5" x14ac:dyDescent="0.35">
      <c r="A619" s="94"/>
      <c r="B619"/>
    </row>
    <row r="620" spans="1:2" ht="14.5" x14ac:dyDescent="0.35">
      <c r="A620" s="94"/>
      <c r="B620"/>
    </row>
    <row r="621" spans="1:2" ht="14.5" x14ac:dyDescent="0.35">
      <c r="A621" s="94"/>
      <c r="B621"/>
    </row>
    <row r="622" spans="1:2" ht="14.5" x14ac:dyDescent="0.35">
      <c r="A622" s="94"/>
      <c r="B622"/>
    </row>
    <row r="623" spans="1:2" ht="14.5" x14ac:dyDescent="0.35">
      <c r="A623" s="94"/>
      <c r="B623"/>
    </row>
    <row r="624" spans="1:2" ht="14.5" x14ac:dyDescent="0.35">
      <c r="A624" s="94"/>
      <c r="B624"/>
    </row>
    <row r="625" spans="1:2" ht="14.5" x14ac:dyDescent="0.35">
      <c r="A625" s="94"/>
      <c r="B625"/>
    </row>
    <row r="626" spans="1:2" ht="14.5" x14ac:dyDescent="0.35">
      <c r="A626" s="94"/>
      <c r="B626"/>
    </row>
    <row r="627" spans="1:2" ht="14.5" x14ac:dyDescent="0.35">
      <c r="A627" s="94"/>
      <c r="B627"/>
    </row>
    <row r="628" spans="1:2" ht="14.5" x14ac:dyDescent="0.35">
      <c r="A628" s="94"/>
      <c r="B628"/>
    </row>
    <row r="629" spans="1:2" ht="14.5" x14ac:dyDescent="0.35">
      <c r="A629" s="94"/>
      <c r="B629"/>
    </row>
    <row r="630" spans="1:2" ht="14.5" x14ac:dyDescent="0.35">
      <c r="A630" s="94"/>
      <c r="B630"/>
    </row>
    <row r="631" spans="1:2" ht="14.5" x14ac:dyDescent="0.35">
      <c r="A631" s="94"/>
      <c r="B631"/>
    </row>
    <row r="632" spans="1:2" ht="14.5" x14ac:dyDescent="0.35">
      <c r="A632" s="94"/>
      <c r="B632"/>
    </row>
    <row r="633" spans="1:2" ht="14.5" x14ac:dyDescent="0.35">
      <c r="A633" s="94"/>
      <c r="B633"/>
    </row>
    <row r="634" spans="1:2" ht="14.5" x14ac:dyDescent="0.35">
      <c r="A634" s="94"/>
      <c r="B634"/>
    </row>
    <row r="635" spans="1:2" ht="14.5" x14ac:dyDescent="0.35">
      <c r="A635" s="94"/>
      <c r="B635"/>
    </row>
    <row r="636" spans="1:2" ht="14.5" x14ac:dyDescent="0.35">
      <c r="A636" s="94"/>
      <c r="B636"/>
    </row>
    <row r="637" spans="1:2" ht="14.5" x14ac:dyDescent="0.35">
      <c r="A637" s="94"/>
      <c r="B637"/>
    </row>
    <row r="638" spans="1:2" ht="14.5" x14ac:dyDescent="0.35">
      <c r="A638" s="94"/>
      <c r="B638"/>
    </row>
    <row r="639" spans="1:2" ht="14.5" x14ac:dyDescent="0.35">
      <c r="A639" s="94"/>
      <c r="B639"/>
    </row>
    <row r="640" spans="1:2" ht="14.5" x14ac:dyDescent="0.35">
      <c r="A640" s="94"/>
      <c r="B640"/>
    </row>
    <row r="641" spans="1:2" ht="14.5" x14ac:dyDescent="0.35">
      <c r="A641" s="94"/>
      <c r="B641"/>
    </row>
    <row r="642" spans="1:2" ht="14.5" x14ac:dyDescent="0.35">
      <c r="A642" s="94"/>
      <c r="B642"/>
    </row>
    <row r="643" spans="1:2" ht="14.5" x14ac:dyDescent="0.35">
      <c r="A643" s="94"/>
      <c r="B643"/>
    </row>
    <row r="644" spans="1:2" ht="14.5" x14ac:dyDescent="0.35">
      <c r="A644" s="94"/>
      <c r="B644"/>
    </row>
    <row r="645" spans="1:2" ht="14.5" x14ac:dyDescent="0.35">
      <c r="A645" s="94"/>
      <c r="B645"/>
    </row>
    <row r="646" spans="1:2" ht="14.5" x14ac:dyDescent="0.35">
      <c r="A646" s="94"/>
      <c r="B646"/>
    </row>
    <row r="647" spans="1:2" ht="14.5" x14ac:dyDescent="0.35">
      <c r="A647" s="94"/>
      <c r="B647"/>
    </row>
    <row r="648" spans="1:2" ht="14.5" x14ac:dyDescent="0.35">
      <c r="A648" s="94"/>
      <c r="B648"/>
    </row>
    <row r="649" spans="1:2" ht="14.5" x14ac:dyDescent="0.35">
      <c r="A649" s="94"/>
      <c r="B649"/>
    </row>
    <row r="650" spans="1:2" ht="14.5" x14ac:dyDescent="0.35">
      <c r="A650" s="94"/>
      <c r="B650"/>
    </row>
    <row r="651" spans="1:2" ht="14.5" x14ac:dyDescent="0.35">
      <c r="A651" s="94"/>
      <c r="B651"/>
    </row>
    <row r="652" spans="1:2" ht="14.5" x14ac:dyDescent="0.35">
      <c r="A652" s="94"/>
      <c r="B652"/>
    </row>
    <row r="653" spans="1:2" ht="14.5" x14ac:dyDescent="0.35">
      <c r="A653" s="94"/>
      <c r="B653"/>
    </row>
    <row r="654" spans="1:2" ht="14.5" x14ac:dyDescent="0.35">
      <c r="A654" s="94"/>
      <c r="B654"/>
    </row>
    <row r="655" spans="1:2" ht="14.5" x14ac:dyDescent="0.35">
      <c r="A655" s="94"/>
      <c r="B655"/>
    </row>
    <row r="656" spans="1:2" ht="14.5" x14ac:dyDescent="0.35">
      <c r="A656" s="94"/>
      <c r="B656"/>
    </row>
    <row r="657" spans="1:2" ht="14.5" x14ac:dyDescent="0.35">
      <c r="A657" s="94"/>
      <c r="B657"/>
    </row>
    <row r="658" spans="1:2" ht="14.5" x14ac:dyDescent="0.35">
      <c r="A658" s="94"/>
      <c r="B658"/>
    </row>
    <row r="659" spans="1:2" ht="14.5" x14ac:dyDescent="0.35">
      <c r="A659" s="94"/>
      <c r="B659"/>
    </row>
    <row r="660" spans="1:2" ht="14.5" x14ac:dyDescent="0.35">
      <c r="A660" s="94"/>
      <c r="B660"/>
    </row>
    <row r="661" spans="1:2" ht="14.5" x14ac:dyDescent="0.35">
      <c r="A661" s="94"/>
      <c r="B661"/>
    </row>
    <row r="662" spans="1:2" ht="14.5" x14ac:dyDescent="0.35">
      <c r="A662" s="94"/>
      <c r="B662"/>
    </row>
    <row r="663" spans="1:2" ht="14.5" x14ac:dyDescent="0.35">
      <c r="A663" s="94"/>
      <c r="B663"/>
    </row>
    <row r="664" spans="1:2" ht="14.5" x14ac:dyDescent="0.35">
      <c r="A664" s="94"/>
      <c r="B664"/>
    </row>
    <row r="665" spans="1:2" ht="14.5" x14ac:dyDescent="0.35">
      <c r="A665" s="94"/>
      <c r="B665"/>
    </row>
    <row r="666" spans="1:2" ht="14.5" x14ac:dyDescent="0.35">
      <c r="A666" s="94"/>
      <c r="B666"/>
    </row>
    <row r="667" spans="1:2" ht="14.5" x14ac:dyDescent="0.35">
      <c r="A667" s="94"/>
      <c r="B667"/>
    </row>
    <row r="668" spans="1:2" ht="14.5" x14ac:dyDescent="0.35">
      <c r="A668" s="94"/>
      <c r="B668"/>
    </row>
    <row r="669" spans="1:2" ht="14.5" x14ac:dyDescent="0.35">
      <c r="A669" s="94"/>
      <c r="B669"/>
    </row>
    <row r="670" spans="1:2" ht="14.5" x14ac:dyDescent="0.35">
      <c r="A670" s="94"/>
      <c r="B670"/>
    </row>
    <row r="671" spans="1:2" ht="14.5" x14ac:dyDescent="0.35">
      <c r="A671" s="94"/>
      <c r="B671"/>
    </row>
    <row r="672" spans="1:2" ht="14.5" x14ac:dyDescent="0.35">
      <c r="A672" s="94"/>
      <c r="B672"/>
    </row>
    <row r="673" spans="1:2" ht="14.5" x14ac:dyDescent="0.35">
      <c r="A673" s="94"/>
      <c r="B673"/>
    </row>
    <row r="674" spans="1:2" ht="14.5" x14ac:dyDescent="0.35">
      <c r="A674" s="94"/>
      <c r="B674"/>
    </row>
    <row r="675" spans="1:2" ht="14.5" x14ac:dyDescent="0.35">
      <c r="A675" s="94"/>
      <c r="B675"/>
    </row>
    <row r="676" spans="1:2" ht="14.5" x14ac:dyDescent="0.35">
      <c r="A676" s="94"/>
      <c r="B676"/>
    </row>
    <row r="677" spans="1:2" ht="14.5" x14ac:dyDescent="0.35">
      <c r="A677" s="94"/>
      <c r="B677"/>
    </row>
    <row r="678" spans="1:2" ht="14.5" x14ac:dyDescent="0.35">
      <c r="A678" s="94"/>
      <c r="B678"/>
    </row>
    <row r="679" spans="1:2" ht="14.5" x14ac:dyDescent="0.35">
      <c r="A679" s="94"/>
      <c r="B679"/>
    </row>
    <row r="680" spans="1:2" ht="14.5" x14ac:dyDescent="0.35">
      <c r="A680" s="94"/>
      <c r="B680"/>
    </row>
    <row r="681" spans="1:2" ht="14.5" x14ac:dyDescent="0.35">
      <c r="A681" s="94"/>
      <c r="B681"/>
    </row>
    <row r="682" spans="1:2" ht="14.5" x14ac:dyDescent="0.35">
      <c r="A682" s="94"/>
      <c r="B682"/>
    </row>
    <row r="683" spans="1:2" ht="14.5" x14ac:dyDescent="0.35">
      <c r="A683" s="94"/>
      <c r="B683"/>
    </row>
    <row r="684" spans="1:2" ht="14.5" x14ac:dyDescent="0.35">
      <c r="A684" s="94"/>
      <c r="B684"/>
    </row>
    <row r="685" spans="1:2" ht="14.5" x14ac:dyDescent="0.35">
      <c r="A685" s="94"/>
      <c r="B685"/>
    </row>
    <row r="686" spans="1:2" ht="14.5" x14ac:dyDescent="0.35">
      <c r="A686" s="94"/>
      <c r="B686"/>
    </row>
    <row r="687" spans="1:2" ht="14.5" x14ac:dyDescent="0.35">
      <c r="A687" s="94"/>
      <c r="B687"/>
    </row>
    <row r="688" spans="1:2" ht="14.5" x14ac:dyDescent="0.35">
      <c r="A688" s="94"/>
      <c r="B688"/>
    </row>
    <row r="689" spans="1:2" ht="14.5" x14ac:dyDescent="0.35">
      <c r="A689" s="94"/>
      <c r="B689"/>
    </row>
    <row r="690" spans="1:2" ht="14.5" x14ac:dyDescent="0.35">
      <c r="A690" s="94"/>
      <c r="B690"/>
    </row>
    <row r="691" spans="1:2" ht="14.5" x14ac:dyDescent="0.35">
      <c r="A691" s="94"/>
      <c r="B691"/>
    </row>
    <row r="692" spans="1:2" ht="14.5" x14ac:dyDescent="0.35">
      <c r="A692" s="94"/>
      <c r="B692"/>
    </row>
    <row r="693" spans="1:2" ht="14.5" x14ac:dyDescent="0.35">
      <c r="A693" s="94"/>
      <c r="B693"/>
    </row>
    <row r="694" spans="1:2" ht="14.5" x14ac:dyDescent="0.35">
      <c r="A694" s="94"/>
      <c r="B694"/>
    </row>
    <row r="695" spans="1:2" ht="14.5" x14ac:dyDescent="0.35">
      <c r="A695" s="94"/>
      <c r="B695"/>
    </row>
    <row r="696" spans="1:2" ht="14.5" x14ac:dyDescent="0.35">
      <c r="A696" s="94"/>
      <c r="B696"/>
    </row>
    <row r="697" spans="1:2" ht="14.5" x14ac:dyDescent="0.35">
      <c r="A697" s="94"/>
      <c r="B697"/>
    </row>
    <row r="698" spans="1:2" ht="14.5" x14ac:dyDescent="0.35">
      <c r="A698" s="94"/>
      <c r="B698"/>
    </row>
    <row r="699" spans="1:2" ht="14.5" x14ac:dyDescent="0.35">
      <c r="A699" s="94"/>
      <c r="B699"/>
    </row>
    <row r="700" spans="1:2" ht="14.5" x14ac:dyDescent="0.35">
      <c r="A700" s="94"/>
      <c r="B700"/>
    </row>
    <row r="701" spans="1:2" ht="14.5" x14ac:dyDescent="0.35">
      <c r="A701" s="94"/>
      <c r="B701"/>
    </row>
    <row r="702" spans="1:2" ht="14.5" x14ac:dyDescent="0.35">
      <c r="A702" s="94"/>
      <c r="B702"/>
    </row>
    <row r="703" spans="1:2" ht="14.5" x14ac:dyDescent="0.35">
      <c r="A703" s="94"/>
      <c r="B703"/>
    </row>
    <row r="704" spans="1:2" ht="14.5" x14ac:dyDescent="0.35">
      <c r="A704" s="94"/>
      <c r="B704"/>
    </row>
    <row r="705" spans="1:2" ht="14.5" x14ac:dyDescent="0.35">
      <c r="A705" s="94"/>
      <c r="B705"/>
    </row>
    <row r="706" spans="1:2" ht="14.5" x14ac:dyDescent="0.35">
      <c r="A706" s="94"/>
      <c r="B706"/>
    </row>
    <row r="707" spans="1:2" ht="14.5" x14ac:dyDescent="0.35">
      <c r="A707" s="94"/>
      <c r="B707"/>
    </row>
    <row r="708" spans="1:2" ht="14.5" x14ac:dyDescent="0.35">
      <c r="A708" s="94"/>
      <c r="B708"/>
    </row>
    <row r="709" spans="1:2" ht="14.5" x14ac:dyDescent="0.35">
      <c r="A709" s="94"/>
      <c r="B709"/>
    </row>
    <row r="710" spans="1:2" ht="14.5" x14ac:dyDescent="0.35">
      <c r="A710" s="94"/>
      <c r="B710"/>
    </row>
    <row r="711" spans="1:2" ht="14.5" x14ac:dyDescent="0.35">
      <c r="A711" s="94"/>
      <c r="B711"/>
    </row>
    <row r="712" spans="1:2" ht="14.5" x14ac:dyDescent="0.35">
      <c r="A712" s="94"/>
      <c r="B712"/>
    </row>
    <row r="713" spans="1:2" ht="14.5" x14ac:dyDescent="0.35">
      <c r="A713" s="94"/>
      <c r="B713"/>
    </row>
    <row r="714" spans="1:2" ht="14.5" x14ac:dyDescent="0.35">
      <c r="A714" s="94"/>
      <c r="B714"/>
    </row>
    <row r="715" spans="1:2" ht="14.5" x14ac:dyDescent="0.35">
      <c r="A715" s="94"/>
      <c r="B715"/>
    </row>
    <row r="716" spans="1:2" ht="14.5" x14ac:dyDescent="0.35">
      <c r="A716" s="94"/>
      <c r="B716"/>
    </row>
    <row r="717" spans="1:2" ht="14.5" x14ac:dyDescent="0.35">
      <c r="A717" s="94"/>
      <c r="B717"/>
    </row>
    <row r="718" spans="1:2" ht="14.5" x14ac:dyDescent="0.35">
      <c r="A718" s="94"/>
      <c r="B718"/>
    </row>
    <row r="719" spans="1:2" ht="14.5" x14ac:dyDescent="0.35">
      <c r="A719" s="94"/>
      <c r="B719"/>
    </row>
    <row r="720" spans="1:2" ht="14.5" x14ac:dyDescent="0.35">
      <c r="A720" s="94"/>
      <c r="B720"/>
    </row>
    <row r="721" spans="1:2" ht="14.5" x14ac:dyDescent="0.35">
      <c r="A721" s="94"/>
      <c r="B721"/>
    </row>
    <row r="722" spans="1:2" ht="14.5" x14ac:dyDescent="0.35">
      <c r="A722" s="94"/>
      <c r="B722"/>
    </row>
    <row r="723" spans="1:2" ht="14.5" x14ac:dyDescent="0.35">
      <c r="A723" s="94"/>
      <c r="B723"/>
    </row>
    <row r="724" spans="1:2" ht="14.5" x14ac:dyDescent="0.35">
      <c r="A724" s="94"/>
      <c r="B724"/>
    </row>
    <row r="725" spans="1:2" ht="14.5" x14ac:dyDescent="0.35">
      <c r="A725" s="94"/>
      <c r="B725"/>
    </row>
    <row r="726" spans="1:2" ht="14.5" x14ac:dyDescent="0.35">
      <c r="A726" s="94"/>
      <c r="B726"/>
    </row>
    <row r="727" spans="1:2" ht="14.5" x14ac:dyDescent="0.35">
      <c r="A727" s="94"/>
      <c r="B727"/>
    </row>
    <row r="728" spans="1:2" ht="14.5" x14ac:dyDescent="0.35">
      <c r="A728" s="94"/>
      <c r="B728"/>
    </row>
    <row r="729" spans="1:2" ht="14.5" x14ac:dyDescent="0.35">
      <c r="A729" s="94"/>
      <c r="B729"/>
    </row>
    <row r="730" spans="1:2" ht="14.5" x14ac:dyDescent="0.35">
      <c r="A730" s="94"/>
      <c r="B730"/>
    </row>
    <row r="731" spans="1:2" ht="14.5" x14ac:dyDescent="0.35">
      <c r="A731" s="94"/>
      <c r="B731"/>
    </row>
    <row r="732" spans="1:2" ht="14.5" x14ac:dyDescent="0.35">
      <c r="A732" s="94"/>
      <c r="B732"/>
    </row>
    <row r="733" spans="1:2" ht="14.5" x14ac:dyDescent="0.35">
      <c r="A733" s="94"/>
      <c r="B733"/>
    </row>
    <row r="734" spans="1:2" ht="14.5" x14ac:dyDescent="0.35">
      <c r="A734" s="94"/>
      <c r="B734"/>
    </row>
    <row r="735" spans="1:2" ht="14.5" x14ac:dyDescent="0.35">
      <c r="A735" s="94"/>
      <c r="B735"/>
    </row>
    <row r="736" spans="1:2" ht="14.5" x14ac:dyDescent="0.35">
      <c r="A736" s="94"/>
      <c r="B736"/>
    </row>
    <row r="737" spans="1:2" ht="14.5" x14ac:dyDescent="0.35">
      <c r="A737" s="94"/>
      <c r="B737"/>
    </row>
    <row r="738" spans="1:2" ht="14.5" x14ac:dyDescent="0.35">
      <c r="A738" s="94"/>
      <c r="B738"/>
    </row>
    <row r="739" spans="1:2" ht="14.5" x14ac:dyDescent="0.35">
      <c r="A739" s="94"/>
      <c r="B739"/>
    </row>
    <row r="740" spans="1:2" ht="14.5" x14ac:dyDescent="0.35">
      <c r="A740" s="94"/>
      <c r="B740"/>
    </row>
    <row r="741" spans="1:2" ht="14.5" x14ac:dyDescent="0.35">
      <c r="A741" s="94"/>
      <c r="B741"/>
    </row>
    <row r="742" spans="1:2" ht="14.5" x14ac:dyDescent="0.35">
      <c r="A742" s="94"/>
      <c r="B742"/>
    </row>
    <row r="743" spans="1:2" ht="14.5" x14ac:dyDescent="0.35">
      <c r="A743" s="94"/>
      <c r="B743"/>
    </row>
    <row r="744" spans="1:2" ht="14.5" x14ac:dyDescent="0.35">
      <c r="A744" s="94"/>
      <c r="B744"/>
    </row>
    <row r="745" spans="1:2" ht="14.5" x14ac:dyDescent="0.35">
      <c r="A745" s="94"/>
      <c r="B745"/>
    </row>
    <row r="746" spans="1:2" ht="14.5" x14ac:dyDescent="0.35">
      <c r="A746" s="94"/>
      <c r="B746"/>
    </row>
    <row r="747" spans="1:2" ht="14.5" x14ac:dyDescent="0.35">
      <c r="A747" s="94"/>
      <c r="B747"/>
    </row>
    <row r="748" spans="1:2" ht="14.5" x14ac:dyDescent="0.35">
      <c r="A748" s="94"/>
      <c r="B748"/>
    </row>
    <row r="749" spans="1:2" ht="14.5" x14ac:dyDescent="0.35">
      <c r="A749" s="94"/>
      <c r="B749"/>
    </row>
    <row r="750" spans="1:2" ht="14.5" x14ac:dyDescent="0.35">
      <c r="A750" s="94"/>
      <c r="B750"/>
    </row>
    <row r="751" spans="1:2" ht="14.5" x14ac:dyDescent="0.35">
      <c r="A751" s="94"/>
      <c r="B751"/>
    </row>
    <row r="752" spans="1:2" ht="14.5" x14ac:dyDescent="0.35">
      <c r="A752" s="94"/>
      <c r="B752"/>
    </row>
    <row r="753" spans="1:2" ht="14.5" x14ac:dyDescent="0.35">
      <c r="A753" s="94"/>
      <c r="B753"/>
    </row>
    <row r="754" spans="1:2" ht="14.5" x14ac:dyDescent="0.35">
      <c r="A754" s="94"/>
      <c r="B754"/>
    </row>
    <row r="755" spans="1:2" ht="14.5" x14ac:dyDescent="0.35">
      <c r="A755" s="94"/>
      <c r="B755"/>
    </row>
    <row r="756" spans="1:2" ht="14.5" x14ac:dyDescent="0.35">
      <c r="A756" s="94"/>
      <c r="B756"/>
    </row>
    <row r="757" spans="1:2" ht="14.5" x14ac:dyDescent="0.35">
      <c r="A757" s="94"/>
      <c r="B757"/>
    </row>
    <row r="758" spans="1:2" ht="14.5" x14ac:dyDescent="0.35">
      <c r="A758" s="94"/>
      <c r="B758"/>
    </row>
    <row r="759" spans="1:2" ht="14.5" x14ac:dyDescent="0.35">
      <c r="A759" s="94"/>
      <c r="B759"/>
    </row>
    <row r="760" spans="1:2" ht="14.5" x14ac:dyDescent="0.35">
      <c r="A760" s="94"/>
      <c r="B760"/>
    </row>
    <row r="761" spans="1:2" ht="14.5" x14ac:dyDescent="0.35">
      <c r="A761" s="94"/>
      <c r="B761"/>
    </row>
    <row r="762" spans="1:2" ht="14.5" x14ac:dyDescent="0.35">
      <c r="A762" s="94"/>
      <c r="B762"/>
    </row>
    <row r="763" spans="1:2" ht="14.5" x14ac:dyDescent="0.35">
      <c r="A763" s="94"/>
      <c r="B763"/>
    </row>
    <row r="764" spans="1:2" ht="14.5" x14ac:dyDescent="0.35">
      <c r="A764" s="94"/>
      <c r="B764"/>
    </row>
    <row r="765" spans="1:2" ht="14.5" x14ac:dyDescent="0.35">
      <c r="A765" s="94"/>
      <c r="B765"/>
    </row>
    <row r="766" spans="1:2" ht="14.5" x14ac:dyDescent="0.35">
      <c r="A766" s="94"/>
      <c r="B766"/>
    </row>
    <row r="767" spans="1:2" ht="14.5" x14ac:dyDescent="0.35">
      <c r="A767" s="94"/>
      <c r="B767"/>
    </row>
    <row r="768" spans="1:2" ht="14.5" x14ac:dyDescent="0.35">
      <c r="A768" s="94"/>
      <c r="B768"/>
    </row>
    <row r="769" spans="1:2" ht="14.5" x14ac:dyDescent="0.35">
      <c r="A769" s="94"/>
      <c r="B769"/>
    </row>
    <row r="770" spans="1:2" ht="14.5" x14ac:dyDescent="0.35">
      <c r="A770" s="94"/>
      <c r="B770"/>
    </row>
    <row r="771" spans="1:2" ht="14.5" x14ac:dyDescent="0.35">
      <c r="A771" s="94"/>
      <c r="B771"/>
    </row>
    <row r="772" spans="1:2" ht="14.5" x14ac:dyDescent="0.35">
      <c r="A772" s="94"/>
      <c r="B772"/>
    </row>
    <row r="773" spans="1:2" ht="14.5" x14ac:dyDescent="0.35">
      <c r="A773" s="94"/>
      <c r="B773"/>
    </row>
    <row r="774" spans="1:2" ht="14.5" x14ac:dyDescent="0.35">
      <c r="A774" s="94"/>
      <c r="B774"/>
    </row>
    <row r="775" spans="1:2" ht="14.5" x14ac:dyDescent="0.35">
      <c r="A775" s="94"/>
      <c r="B775"/>
    </row>
    <row r="776" spans="1:2" ht="14.5" x14ac:dyDescent="0.35">
      <c r="A776" s="94"/>
      <c r="B776"/>
    </row>
    <row r="777" spans="1:2" ht="14.5" x14ac:dyDescent="0.35">
      <c r="A777" s="94"/>
      <c r="B777"/>
    </row>
    <row r="778" spans="1:2" ht="14.5" x14ac:dyDescent="0.35">
      <c r="A778" s="94"/>
      <c r="B778"/>
    </row>
    <row r="779" spans="1:2" ht="14.5" x14ac:dyDescent="0.35">
      <c r="A779" s="94"/>
      <c r="B779"/>
    </row>
    <row r="780" spans="1:2" ht="14.5" x14ac:dyDescent="0.35">
      <c r="A780" s="94"/>
      <c r="B780"/>
    </row>
    <row r="781" spans="1:2" ht="14.5" x14ac:dyDescent="0.35">
      <c r="A781" s="94"/>
      <c r="B781"/>
    </row>
    <row r="782" spans="1:2" ht="14.5" x14ac:dyDescent="0.35">
      <c r="A782" s="94"/>
      <c r="B782"/>
    </row>
    <row r="783" spans="1:2" ht="14.5" x14ac:dyDescent="0.35">
      <c r="A783" s="94"/>
      <c r="B783"/>
    </row>
    <row r="784" spans="1:2" ht="14.5" x14ac:dyDescent="0.35">
      <c r="A784" s="94"/>
      <c r="B784"/>
    </row>
    <row r="785" spans="1:2" ht="14.5" x14ac:dyDescent="0.35">
      <c r="A785" s="94"/>
      <c r="B785"/>
    </row>
    <row r="786" spans="1:2" ht="14.5" x14ac:dyDescent="0.35">
      <c r="A786" s="94"/>
      <c r="B786"/>
    </row>
    <row r="787" spans="1:2" ht="14.5" x14ac:dyDescent="0.35">
      <c r="A787" s="94"/>
      <c r="B787"/>
    </row>
    <row r="788" spans="1:2" ht="14.5" x14ac:dyDescent="0.35">
      <c r="A788" s="94"/>
      <c r="B788"/>
    </row>
    <row r="789" spans="1:2" ht="14.5" x14ac:dyDescent="0.35">
      <c r="A789" s="94"/>
      <c r="B789"/>
    </row>
    <row r="790" spans="1:2" ht="14.5" x14ac:dyDescent="0.35">
      <c r="A790" s="94"/>
      <c r="B790"/>
    </row>
    <row r="791" spans="1:2" ht="14.5" x14ac:dyDescent="0.35">
      <c r="A791" s="94"/>
      <c r="B791"/>
    </row>
    <row r="792" spans="1:2" ht="14.5" x14ac:dyDescent="0.35">
      <c r="A792" s="94"/>
      <c r="B792"/>
    </row>
    <row r="793" spans="1:2" ht="14.5" x14ac:dyDescent="0.35">
      <c r="A793" s="94"/>
      <c r="B793"/>
    </row>
    <row r="794" spans="1:2" ht="14.5" x14ac:dyDescent="0.35">
      <c r="A794" s="94"/>
      <c r="B794"/>
    </row>
    <row r="795" spans="1:2" ht="14.5" x14ac:dyDescent="0.35">
      <c r="A795" s="94"/>
      <c r="B795"/>
    </row>
    <row r="796" spans="1:2" ht="14.5" x14ac:dyDescent="0.35">
      <c r="A796" s="94"/>
      <c r="B796"/>
    </row>
    <row r="797" spans="1:2" ht="14.5" x14ac:dyDescent="0.35">
      <c r="A797" s="94"/>
      <c r="B797"/>
    </row>
    <row r="798" spans="1:2" ht="14.5" x14ac:dyDescent="0.35">
      <c r="A798" s="94"/>
      <c r="B798"/>
    </row>
    <row r="799" spans="1:2" ht="14.5" x14ac:dyDescent="0.35">
      <c r="A799" s="94"/>
      <c r="B799"/>
    </row>
    <row r="800" spans="1:2" ht="14.5" x14ac:dyDescent="0.35">
      <c r="A800" s="94"/>
      <c r="B800"/>
    </row>
    <row r="801" spans="1:2" ht="14.5" x14ac:dyDescent="0.35">
      <c r="A801" s="94"/>
      <c r="B801"/>
    </row>
    <row r="802" spans="1:2" ht="14.5" x14ac:dyDescent="0.35">
      <c r="A802" s="94"/>
      <c r="B802"/>
    </row>
    <row r="803" spans="1:2" ht="14.5" x14ac:dyDescent="0.35">
      <c r="A803" s="94"/>
      <c r="B803"/>
    </row>
    <row r="804" spans="1:2" ht="14.5" x14ac:dyDescent="0.35">
      <c r="A804" s="94"/>
      <c r="B804"/>
    </row>
    <row r="805" spans="1:2" ht="14.5" x14ac:dyDescent="0.35">
      <c r="A805" s="94"/>
      <c r="B805"/>
    </row>
    <row r="806" spans="1:2" ht="14.5" x14ac:dyDescent="0.35">
      <c r="A806" s="94"/>
      <c r="B806"/>
    </row>
    <row r="807" spans="1:2" ht="14.5" x14ac:dyDescent="0.35">
      <c r="A807" s="94"/>
      <c r="B807"/>
    </row>
    <row r="808" spans="1:2" ht="14.5" x14ac:dyDescent="0.35">
      <c r="A808" s="94"/>
      <c r="B808"/>
    </row>
    <row r="809" spans="1:2" ht="14.5" x14ac:dyDescent="0.35">
      <c r="A809" s="94"/>
      <c r="B809"/>
    </row>
    <row r="810" spans="1:2" ht="14.5" x14ac:dyDescent="0.35">
      <c r="A810" s="94"/>
      <c r="B810"/>
    </row>
    <row r="811" spans="1:2" ht="14.5" x14ac:dyDescent="0.35">
      <c r="A811" s="94"/>
      <c r="B811"/>
    </row>
    <row r="812" spans="1:2" ht="14.5" x14ac:dyDescent="0.35">
      <c r="A812" s="94"/>
      <c r="B812"/>
    </row>
    <row r="813" spans="1:2" ht="14.5" x14ac:dyDescent="0.35">
      <c r="A813" s="94"/>
      <c r="B813"/>
    </row>
    <row r="814" spans="1:2" ht="14.5" x14ac:dyDescent="0.35">
      <c r="A814" s="94"/>
      <c r="B814"/>
    </row>
    <row r="815" spans="1:2" ht="14.5" x14ac:dyDescent="0.35">
      <c r="A815" s="94"/>
      <c r="B815"/>
    </row>
    <row r="816" spans="1:2" ht="14.5" x14ac:dyDescent="0.35">
      <c r="A816" s="94"/>
      <c r="B816"/>
    </row>
    <row r="817" spans="1:2" ht="14.5" x14ac:dyDescent="0.35">
      <c r="A817" s="94"/>
      <c r="B817"/>
    </row>
    <row r="818" spans="1:2" ht="14.5" x14ac:dyDescent="0.35">
      <c r="A818" s="94"/>
      <c r="B818"/>
    </row>
    <row r="819" spans="1:2" ht="14.5" x14ac:dyDescent="0.35">
      <c r="A819" s="94"/>
      <c r="B819"/>
    </row>
    <row r="820" spans="1:2" ht="14.5" x14ac:dyDescent="0.35">
      <c r="A820" s="94"/>
      <c r="B820"/>
    </row>
    <row r="821" spans="1:2" ht="14.5" x14ac:dyDescent="0.35">
      <c r="A821" s="94"/>
      <c r="B821"/>
    </row>
    <row r="822" spans="1:2" ht="14.5" x14ac:dyDescent="0.35">
      <c r="A822" s="94"/>
      <c r="B822"/>
    </row>
    <row r="823" spans="1:2" ht="14.5" x14ac:dyDescent="0.35">
      <c r="A823" s="94"/>
      <c r="B823"/>
    </row>
    <row r="824" spans="1:2" ht="14.5" x14ac:dyDescent="0.35">
      <c r="A824" s="94"/>
      <c r="B824"/>
    </row>
    <row r="825" spans="1:2" ht="14.5" x14ac:dyDescent="0.35">
      <c r="A825" s="94"/>
      <c r="B825"/>
    </row>
    <row r="826" spans="1:2" ht="14.5" x14ac:dyDescent="0.35">
      <c r="A826" s="94"/>
      <c r="B826"/>
    </row>
    <row r="827" spans="1:2" ht="14.5" x14ac:dyDescent="0.35">
      <c r="A827" s="94"/>
      <c r="B827"/>
    </row>
    <row r="828" spans="1:2" ht="14.5" x14ac:dyDescent="0.35">
      <c r="A828" s="94"/>
      <c r="B828"/>
    </row>
    <row r="829" spans="1:2" ht="14.5" x14ac:dyDescent="0.35">
      <c r="A829" s="94"/>
      <c r="B829"/>
    </row>
    <row r="830" spans="1:2" ht="14.5" x14ac:dyDescent="0.35">
      <c r="A830" s="94"/>
      <c r="B830"/>
    </row>
    <row r="831" spans="1:2" ht="14.5" x14ac:dyDescent="0.35">
      <c r="A831" s="94"/>
      <c r="B831"/>
    </row>
    <row r="832" spans="1:2" ht="14.5" x14ac:dyDescent="0.35">
      <c r="A832" s="94"/>
      <c r="B832"/>
    </row>
    <row r="833" spans="1:2" ht="14.5" x14ac:dyDescent="0.35">
      <c r="A833" s="94"/>
      <c r="B833"/>
    </row>
    <row r="834" spans="1:2" ht="14.5" x14ac:dyDescent="0.35">
      <c r="A834" s="94"/>
      <c r="B834"/>
    </row>
    <row r="835" spans="1:2" ht="14.5" x14ac:dyDescent="0.35">
      <c r="A835" s="94"/>
      <c r="B835"/>
    </row>
    <row r="836" spans="1:2" ht="14.5" x14ac:dyDescent="0.35">
      <c r="A836" s="94"/>
      <c r="B836"/>
    </row>
    <row r="837" spans="1:2" ht="14.5" x14ac:dyDescent="0.35">
      <c r="A837" s="94"/>
      <c r="B837"/>
    </row>
    <row r="838" spans="1:2" ht="14.5" x14ac:dyDescent="0.35">
      <c r="A838" s="94"/>
      <c r="B838"/>
    </row>
    <row r="839" spans="1:2" ht="14.5" x14ac:dyDescent="0.35">
      <c r="A839" s="94"/>
      <c r="B839"/>
    </row>
    <row r="840" spans="1:2" ht="14.5" x14ac:dyDescent="0.35">
      <c r="A840" s="94"/>
      <c r="B840"/>
    </row>
    <row r="841" spans="1:2" ht="14.5" x14ac:dyDescent="0.35">
      <c r="A841" s="94"/>
      <c r="B841"/>
    </row>
    <row r="842" spans="1:2" ht="14.5" x14ac:dyDescent="0.35">
      <c r="A842" s="94"/>
      <c r="B842"/>
    </row>
    <row r="843" spans="1:2" ht="14.5" x14ac:dyDescent="0.35">
      <c r="A843" s="94"/>
      <c r="B843"/>
    </row>
    <row r="844" spans="1:2" ht="14.5" x14ac:dyDescent="0.35">
      <c r="A844" s="94"/>
      <c r="B844"/>
    </row>
    <row r="845" spans="1:2" ht="14.5" x14ac:dyDescent="0.35">
      <c r="A845" s="94"/>
      <c r="B845"/>
    </row>
    <row r="846" spans="1:2" ht="14.5" x14ac:dyDescent="0.35">
      <c r="A846" s="94"/>
      <c r="B846"/>
    </row>
    <row r="847" spans="1:2" ht="14.5" x14ac:dyDescent="0.35">
      <c r="A847" s="94"/>
      <c r="B847"/>
    </row>
    <row r="848" spans="1:2" ht="14.5" x14ac:dyDescent="0.35">
      <c r="A848" s="94"/>
      <c r="B848"/>
    </row>
    <row r="849" spans="1:2" ht="14.5" x14ac:dyDescent="0.35">
      <c r="A849" s="94"/>
      <c r="B849"/>
    </row>
    <row r="850" spans="1:2" ht="14.5" x14ac:dyDescent="0.35">
      <c r="A850" s="94"/>
      <c r="B850"/>
    </row>
    <row r="851" spans="1:2" ht="14.5" x14ac:dyDescent="0.35">
      <c r="A851" s="94"/>
      <c r="B851"/>
    </row>
    <row r="852" spans="1:2" ht="14.5" x14ac:dyDescent="0.35">
      <c r="A852" s="94"/>
      <c r="B852"/>
    </row>
    <row r="853" spans="1:2" ht="14.5" x14ac:dyDescent="0.35">
      <c r="A853" s="94"/>
      <c r="B853"/>
    </row>
    <row r="854" spans="1:2" ht="14.5" x14ac:dyDescent="0.35">
      <c r="A854" s="94"/>
      <c r="B854"/>
    </row>
    <row r="855" spans="1:2" ht="14.5" x14ac:dyDescent="0.35">
      <c r="A855" s="94"/>
      <c r="B855"/>
    </row>
    <row r="856" spans="1:2" ht="14.5" x14ac:dyDescent="0.35">
      <c r="A856" s="94"/>
      <c r="B856"/>
    </row>
    <row r="857" spans="1:2" ht="14.5" x14ac:dyDescent="0.35">
      <c r="A857" s="94"/>
      <c r="B857"/>
    </row>
    <row r="858" spans="1:2" ht="14.5" x14ac:dyDescent="0.35">
      <c r="A858" s="94"/>
      <c r="B858"/>
    </row>
    <row r="859" spans="1:2" ht="14.5" x14ac:dyDescent="0.35">
      <c r="A859" s="94"/>
      <c r="B859"/>
    </row>
    <row r="860" spans="1:2" ht="14.5" x14ac:dyDescent="0.35">
      <c r="A860" s="94"/>
      <c r="B860"/>
    </row>
    <row r="861" spans="1:2" ht="14.5" x14ac:dyDescent="0.35">
      <c r="A861" s="94"/>
      <c r="B861"/>
    </row>
    <row r="862" spans="1:2" ht="14.5" x14ac:dyDescent="0.35">
      <c r="A862" s="94"/>
      <c r="B862"/>
    </row>
    <row r="863" spans="1:2" ht="14.5" x14ac:dyDescent="0.35">
      <c r="A863" s="94"/>
      <c r="B863"/>
    </row>
    <row r="864" spans="1:2" ht="14.5" x14ac:dyDescent="0.35">
      <c r="A864" s="94"/>
      <c r="B864"/>
    </row>
    <row r="865" spans="1:2" ht="14.5" x14ac:dyDescent="0.35">
      <c r="A865" s="94"/>
      <c r="B865"/>
    </row>
    <row r="866" spans="1:2" ht="14.5" x14ac:dyDescent="0.35">
      <c r="A866" s="94"/>
      <c r="B866"/>
    </row>
    <row r="867" spans="1:2" ht="14.5" x14ac:dyDescent="0.35">
      <c r="A867" s="94"/>
      <c r="B867"/>
    </row>
    <row r="868" spans="1:2" ht="14.5" x14ac:dyDescent="0.35">
      <c r="A868" s="94"/>
      <c r="B868"/>
    </row>
    <row r="869" spans="1:2" ht="14.5" x14ac:dyDescent="0.35">
      <c r="A869" s="94"/>
      <c r="B869"/>
    </row>
    <row r="870" spans="1:2" ht="14.5" x14ac:dyDescent="0.35">
      <c r="A870" s="94"/>
      <c r="B870"/>
    </row>
    <row r="871" spans="1:2" ht="14.5" x14ac:dyDescent="0.35">
      <c r="A871" s="94"/>
      <c r="B871"/>
    </row>
    <row r="872" spans="1:2" ht="14.5" x14ac:dyDescent="0.35">
      <c r="A872" s="94"/>
      <c r="B872"/>
    </row>
    <row r="873" spans="1:2" ht="14.5" x14ac:dyDescent="0.35">
      <c r="A873" s="94"/>
      <c r="B873"/>
    </row>
    <row r="874" spans="1:2" ht="14.5" x14ac:dyDescent="0.35">
      <c r="A874" s="94"/>
      <c r="B874"/>
    </row>
    <row r="875" spans="1:2" ht="14.5" x14ac:dyDescent="0.35">
      <c r="A875" s="94"/>
      <c r="B875"/>
    </row>
    <row r="876" spans="1:2" ht="14.5" x14ac:dyDescent="0.35">
      <c r="A876" s="94"/>
      <c r="B876"/>
    </row>
    <row r="877" spans="1:2" ht="14.5" x14ac:dyDescent="0.35">
      <c r="A877" s="94"/>
      <c r="B877"/>
    </row>
    <row r="878" spans="1:2" ht="14.5" x14ac:dyDescent="0.35">
      <c r="A878" s="94"/>
      <c r="B878"/>
    </row>
    <row r="879" spans="1:2" ht="14.5" x14ac:dyDescent="0.35">
      <c r="A879" s="94"/>
      <c r="B879"/>
    </row>
    <row r="880" spans="1:2" ht="14.5" x14ac:dyDescent="0.35">
      <c r="A880" s="94"/>
      <c r="B880"/>
    </row>
    <row r="881" spans="1:2" ht="14.5" x14ac:dyDescent="0.35">
      <c r="A881" s="94"/>
      <c r="B881"/>
    </row>
    <row r="882" spans="1:2" ht="14.5" x14ac:dyDescent="0.35">
      <c r="A882" s="94"/>
      <c r="B882"/>
    </row>
    <row r="883" spans="1:2" ht="14.5" x14ac:dyDescent="0.35">
      <c r="A883" s="94"/>
      <c r="B883"/>
    </row>
    <row r="884" spans="1:2" ht="14.5" x14ac:dyDescent="0.35">
      <c r="A884" s="94"/>
      <c r="B884"/>
    </row>
    <row r="885" spans="1:2" ht="14.5" x14ac:dyDescent="0.35">
      <c r="A885" s="94"/>
      <c r="B885"/>
    </row>
    <row r="886" spans="1:2" ht="14.5" x14ac:dyDescent="0.35">
      <c r="A886" s="94"/>
      <c r="B886"/>
    </row>
    <row r="887" spans="1:2" ht="14.5" x14ac:dyDescent="0.35">
      <c r="A887" s="94"/>
      <c r="B887"/>
    </row>
    <row r="888" spans="1:2" ht="14.5" x14ac:dyDescent="0.35">
      <c r="A888" s="94"/>
      <c r="B888"/>
    </row>
    <row r="889" spans="1:2" ht="14.5" x14ac:dyDescent="0.35">
      <c r="A889" s="94"/>
      <c r="B889"/>
    </row>
    <row r="890" spans="1:2" ht="14.5" x14ac:dyDescent="0.35">
      <c r="A890" s="94"/>
      <c r="B890"/>
    </row>
    <row r="891" spans="1:2" ht="14.5" x14ac:dyDescent="0.35">
      <c r="A891" s="94"/>
      <c r="B891"/>
    </row>
    <row r="892" spans="1:2" ht="14.5" x14ac:dyDescent="0.35">
      <c r="A892" s="94"/>
      <c r="B892"/>
    </row>
    <row r="893" spans="1:2" ht="14.5" x14ac:dyDescent="0.35">
      <c r="A893" s="94"/>
      <c r="B893"/>
    </row>
    <row r="894" spans="1:2" ht="14.5" x14ac:dyDescent="0.35">
      <c r="A894" s="94"/>
      <c r="B894"/>
    </row>
    <row r="895" spans="1:2" ht="14.5" x14ac:dyDescent="0.35">
      <c r="A895" s="94"/>
      <c r="B895"/>
    </row>
    <row r="896" spans="1:2" ht="14.5" x14ac:dyDescent="0.35">
      <c r="A896" s="94"/>
      <c r="B896"/>
    </row>
    <row r="897" spans="1:2" ht="14.5" x14ac:dyDescent="0.35">
      <c r="A897" s="94"/>
      <c r="B897"/>
    </row>
    <row r="898" spans="1:2" ht="14.5" x14ac:dyDescent="0.35">
      <c r="A898" s="94"/>
      <c r="B898"/>
    </row>
    <row r="899" spans="1:2" ht="14.5" x14ac:dyDescent="0.35">
      <c r="A899" s="94"/>
      <c r="B899"/>
    </row>
    <row r="900" spans="1:2" ht="14.5" x14ac:dyDescent="0.35">
      <c r="A900" s="94"/>
      <c r="B900"/>
    </row>
    <row r="901" spans="1:2" ht="14.5" x14ac:dyDescent="0.35">
      <c r="A901" s="94"/>
      <c r="B901"/>
    </row>
    <row r="902" spans="1:2" ht="14.5" x14ac:dyDescent="0.35">
      <c r="A902" s="94"/>
      <c r="B902"/>
    </row>
    <row r="903" spans="1:2" ht="14.5" x14ac:dyDescent="0.35">
      <c r="A903" s="94"/>
      <c r="B903"/>
    </row>
    <row r="904" spans="1:2" ht="14.5" x14ac:dyDescent="0.35">
      <c r="A904" s="94"/>
      <c r="B904"/>
    </row>
    <row r="905" spans="1:2" ht="14.5" x14ac:dyDescent="0.35">
      <c r="A905" s="94"/>
      <c r="B905"/>
    </row>
    <row r="906" spans="1:2" ht="14.5" x14ac:dyDescent="0.35">
      <c r="A906" s="94"/>
      <c r="B906"/>
    </row>
    <row r="907" spans="1:2" ht="14.5" x14ac:dyDescent="0.35">
      <c r="A907" s="94"/>
      <c r="B907"/>
    </row>
    <row r="908" spans="1:2" ht="14.5" x14ac:dyDescent="0.35">
      <c r="A908" s="94"/>
      <c r="B908"/>
    </row>
    <row r="909" spans="1:2" ht="14.5" x14ac:dyDescent="0.35">
      <c r="A909" s="94"/>
      <c r="B909"/>
    </row>
    <row r="910" spans="1:2" ht="14.5" x14ac:dyDescent="0.35">
      <c r="A910" s="94"/>
      <c r="B910"/>
    </row>
    <row r="911" spans="1:2" ht="14.5" x14ac:dyDescent="0.35">
      <c r="A911" s="94"/>
      <c r="B911"/>
    </row>
    <row r="912" spans="1:2" ht="14.5" x14ac:dyDescent="0.35">
      <c r="A912" s="94"/>
      <c r="B912"/>
    </row>
    <row r="913" spans="1:2" ht="14.5" x14ac:dyDescent="0.35">
      <c r="A913" s="94"/>
      <c r="B913"/>
    </row>
    <row r="914" spans="1:2" ht="14.5" x14ac:dyDescent="0.35">
      <c r="A914" s="94"/>
      <c r="B914"/>
    </row>
    <row r="915" spans="1:2" ht="14.5" x14ac:dyDescent="0.35">
      <c r="A915" s="94"/>
      <c r="B915"/>
    </row>
    <row r="916" spans="1:2" ht="14.5" x14ac:dyDescent="0.35">
      <c r="A916" s="94"/>
      <c r="B916"/>
    </row>
    <row r="917" spans="1:2" ht="14.5" x14ac:dyDescent="0.35">
      <c r="A917" s="94"/>
      <c r="B917"/>
    </row>
    <row r="918" spans="1:2" ht="14.5" x14ac:dyDescent="0.35">
      <c r="A918" s="94"/>
      <c r="B918"/>
    </row>
    <row r="919" spans="1:2" ht="14.5" x14ac:dyDescent="0.35">
      <c r="A919" s="94"/>
      <c r="B919"/>
    </row>
    <row r="920" spans="1:2" ht="14.5" x14ac:dyDescent="0.35">
      <c r="A920" s="94"/>
      <c r="B920"/>
    </row>
    <row r="921" spans="1:2" ht="14.5" x14ac:dyDescent="0.35">
      <c r="A921" s="94"/>
      <c r="B921"/>
    </row>
    <row r="922" spans="1:2" ht="14.5" x14ac:dyDescent="0.35">
      <c r="A922" s="94"/>
      <c r="B922"/>
    </row>
    <row r="923" spans="1:2" ht="14.5" x14ac:dyDescent="0.35">
      <c r="A923" s="94"/>
      <c r="B923"/>
    </row>
    <row r="924" spans="1:2" ht="14.5" x14ac:dyDescent="0.35">
      <c r="A924" s="94"/>
      <c r="B924"/>
    </row>
    <row r="925" spans="1:2" ht="14.5" x14ac:dyDescent="0.35">
      <c r="A925" s="94"/>
      <c r="B925"/>
    </row>
    <row r="926" spans="1:2" ht="14.5" x14ac:dyDescent="0.35">
      <c r="A926" s="94"/>
      <c r="B926"/>
    </row>
    <row r="927" spans="1:2" ht="14.5" x14ac:dyDescent="0.35">
      <c r="A927" s="94"/>
      <c r="B927"/>
    </row>
    <row r="928" spans="1:2" ht="14.5" x14ac:dyDescent="0.35">
      <c r="A928" s="94"/>
      <c r="B928"/>
    </row>
    <row r="929" spans="1:2" ht="14.5" x14ac:dyDescent="0.35">
      <c r="A929" s="94"/>
      <c r="B929"/>
    </row>
    <row r="930" spans="1:2" ht="14.5" x14ac:dyDescent="0.35">
      <c r="A930" s="94"/>
      <c r="B930"/>
    </row>
    <row r="931" spans="1:2" ht="14.5" x14ac:dyDescent="0.35">
      <c r="A931" s="94"/>
      <c r="B931"/>
    </row>
    <row r="932" spans="1:2" ht="14.5" x14ac:dyDescent="0.35">
      <c r="A932" s="94"/>
      <c r="B932"/>
    </row>
    <row r="933" spans="1:2" ht="14.5" x14ac:dyDescent="0.35">
      <c r="A933" s="94"/>
      <c r="B933"/>
    </row>
    <row r="934" spans="1:2" ht="14.5" x14ac:dyDescent="0.35">
      <c r="A934" s="94"/>
      <c r="B934"/>
    </row>
    <row r="935" spans="1:2" ht="14.5" x14ac:dyDescent="0.35">
      <c r="A935" s="94"/>
      <c r="B935"/>
    </row>
    <row r="936" spans="1:2" ht="14.5" x14ac:dyDescent="0.35">
      <c r="A936" s="94"/>
      <c r="B936"/>
    </row>
    <row r="937" spans="1:2" ht="14.5" x14ac:dyDescent="0.35">
      <c r="A937" s="94"/>
      <c r="B937"/>
    </row>
    <row r="938" spans="1:2" ht="14.5" x14ac:dyDescent="0.35">
      <c r="A938" s="94"/>
      <c r="B938"/>
    </row>
    <row r="939" spans="1:2" ht="14.5" x14ac:dyDescent="0.35">
      <c r="A939" s="94"/>
      <c r="B939"/>
    </row>
    <row r="940" spans="1:2" ht="14.5" x14ac:dyDescent="0.35">
      <c r="A940" s="94"/>
      <c r="B940"/>
    </row>
    <row r="941" spans="1:2" ht="14.5" x14ac:dyDescent="0.35">
      <c r="A941" s="94"/>
      <c r="B941"/>
    </row>
    <row r="942" spans="1:2" ht="14.5" x14ac:dyDescent="0.35">
      <c r="A942" s="94"/>
      <c r="B942"/>
    </row>
    <row r="943" spans="1:2" ht="14.5" x14ac:dyDescent="0.35">
      <c r="A943" s="94"/>
      <c r="B943"/>
    </row>
    <row r="944" spans="1:2" ht="14.5" x14ac:dyDescent="0.35">
      <c r="A944" s="94"/>
      <c r="B944"/>
    </row>
    <row r="945" spans="1:2" ht="14.5" x14ac:dyDescent="0.35">
      <c r="A945" s="94"/>
      <c r="B945"/>
    </row>
    <row r="946" spans="1:2" ht="14.5" x14ac:dyDescent="0.35">
      <c r="A946" s="94"/>
      <c r="B946"/>
    </row>
    <row r="947" spans="1:2" ht="14.5" x14ac:dyDescent="0.35">
      <c r="A947" s="94"/>
      <c r="B947"/>
    </row>
  </sheetData>
  <sheetProtection password="CC0B" sheet="1" objects="1" scenarios="1" selectLockedCells="0" selectUnlockedCells="1"/>
  <pageMargins left="0.7" right="0.7" top="0.75" bottom="0.75" header="0.3" footer="0.3"/>
  <pageSetup paperSize="9" orientation="portrait" horizontalDpi="4294967293"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16</vt:i4>
      </vt:variant>
      <vt:variant>
        <vt:lpstr>Named Ranges</vt:lpstr>
      </vt:variant>
      <vt:variant>
        <vt:i4>6</vt:i4>
      </vt:variant>
    </vt:vector>
  </HeadingPairs>
  <TitlesOfParts>
    <vt:vector size="22" baseType="lpstr">
      <vt:lpstr>One Page Profile</vt:lpstr>
      <vt:lpstr>Financials&gt;</vt:lpstr>
      <vt:lpstr>Historical &amp; Forecasted FS</vt:lpstr>
      <vt:lpstr>Specific Forecasts</vt:lpstr>
      <vt:lpstr>Ratio Analysis</vt:lpstr>
      <vt:lpstr>Common Size Statements</vt:lpstr>
      <vt:lpstr>DCF&gt;</vt:lpstr>
      <vt:lpstr>WACC</vt:lpstr>
      <vt:lpstr>Regression Beta</vt:lpstr>
      <vt:lpstr>Intrinsic Growth</vt:lpstr>
      <vt:lpstr>DCF</vt:lpstr>
      <vt:lpstr>Relative Valuation</vt:lpstr>
      <vt:lpstr>Risk</vt:lpstr>
      <vt:lpstr>Dupont Analysis</vt:lpstr>
      <vt:lpstr>Data&gt;</vt:lpstr>
      <vt:lpstr>Data Sheet</vt:lpstr>
      <vt:lpstr>DCF!Print_Area</vt:lpstr>
      <vt:lpstr>'Dupont Analysis'!Print_Area</vt:lpstr>
      <vt:lpstr>'Historical &amp; Forecasted FS'!Print_Area</vt:lpstr>
      <vt:lpstr>'One Page Profile'!Print_Area</vt:lpstr>
      <vt:lpstr>'Regression Beta'!Print_Area</vt:lpstr>
      <vt:lpstr>Risk!Print_Area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dc:creator>
  <cp:lastModifiedBy>Ria Kothari</cp:lastModifiedBy>
  <cp:lastPrinted>2024-05-27T23:13:27Z</cp:lastPrinted>
  <dcterms:created xsi:type="dcterms:W3CDTF">2024-03-31T17:08:03Z</dcterms:created>
  <dcterms:modified xsi:type="dcterms:W3CDTF">2025-02-13T23:45:45Z</dcterms:modified>
</cp:coreProperties>
</file>